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2" codeName="{801CCD77-7B78-1753-DF39-40050F3742D7}"/>
  <workbookPr codeName="ThisWorkbook"/>
  <mc:AlternateContent xmlns:mc="http://schemas.openxmlformats.org/markup-compatibility/2006">
    <mc:Choice Requires="x15">
      <x15ac:absPath xmlns:x15ac="http://schemas.microsoft.com/office/spreadsheetml/2010/11/ac" url="/Users/abhilashajaiswal/Downloads/"/>
    </mc:Choice>
  </mc:AlternateContent>
  <xr:revisionPtr revIDLastSave="0" documentId="13_ncr:1_{CCCC7592-A5EB-1D41-AAB1-C7381CD0ED67}" xr6:coauthVersionLast="45" xr6:coauthVersionMax="45" xr10:uidLastSave="{00000000-0000-0000-0000-000000000000}"/>
  <bookViews>
    <workbookView xWindow="0" yWindow="0" windowWidth="28800" windowHeight="18000" tabRatio="775" activeTab="5" xr2:uid="{00000000-000D-0000-FFFF-FFFF00000000}"/>
  </bookViews>
  <sheets>
    <sheet name="Dashboard" sheetId="6" r:id="rId1"/>
    <sheet name="RPT (4)" sheetId="32" r:id="rId2"/>
    <sheet name="RPT (3)" sheetId="31" r:id="rId3"/>
    <sheet name="RPT (2)" sheetId="30" r:id="rId4"/>
    <sheet name="RPT" sheetId="29"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16"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<sst xmlns="http://schemas.openxmlformats.org/spreadsheetml/2006/main" count="478" uniqueCount="47">
  <si>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</si>
  <si>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</si>
  <si>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</si>
  <si>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</si>
  <si>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</si>
  <si>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</si>
  <si>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</si>
  <si>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</si>
  <si>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</si>
  <si>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</si>
  <si>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</si>
  <si>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</si>
  <si>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</si>
  <si>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</si>
  <si>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</si>
  <si>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</si>
  <si>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</si>
  <si>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</si>
  <si>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</si>
  <si>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</si>
  <si>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</si>
  <si>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</si>
  <si>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</si>
  <si>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</si>
  <si>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</si>
  <si>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</si>
  <si>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</si>
  <si>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</si>
  <si>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</si>
  <si>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</si>
  <si>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</si>
  <si>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</si>
  <si>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</si>
  <si>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</si>
  <si>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</si>
  <si>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</si>
  <si>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</si>
  <si>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</si>
  <si>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</si>
  <si>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</si>
  <si>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</si>
  <si>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</si>
  <si>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</si>
  <si>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</si>
  <si>
    <r>
      <t xml:space="preserve">          </t>
    </r>
    <r>
      <rPr>
        <b/>
        <sz val="14"/>
        <color theme="1"/>
        <rFont val="Calibri (Body)"/>
      </rPr>
      <t>PIVOT  TABLE</t>
    </r>
  </si>
  <si>
    <r>
      <t xml:space="preserve">     </t>
    </r>
    <r>
      <rPr>
        <b/>
        <sz val="12"/>
        <color theme="1"/>
        <rFont val="Calibri (Body)"/>
      </rPr>
      <t>RESIZE AND BRING CHARTS</t>
    </r>
  </si>
  <si>
    <r>
      <t xml:space="preserve">      </t>
    </r>
    <r>
      <rPr>
        <b/>
        <sz val="14"/>
        <color theme="1"/>
        <rFont val="Calibri (Body)"/>
      </rPr>
      <t xml:space="preserve"> CONNECTED SLICERS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</si>
</sst>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6">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
      <b/>
      <sz val="12"/>
      <color theme="1"/>
      <name val="Calibri (Body)"/>
    </font>
    <font>
      <b/>
      <sz val="14"/>
      <color theme="1"/>
      <name val="Calibri (Body)"/>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applyNumberFormat="1"/>
    <xf numFmtId="0" fontId="0" fillId="0" borderId="0" xfId="0" pivotButton="1"/>
    <xf numFmtId="0" fontId="0" fillId="0" borderId="0" xfId="0" applyAlignment="1">
      <alignment horizontal="left"/>
    </xf>
    <xf numFmtId="164" fontId="0" fillId="0" borderId="0" xfId="0" applyNumberFormat="1" applyAlignment="1">
      <alignment horizontal="left"/>
    </xf>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(4)!MYPT1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Date</a:t>
            </a:r>
            <a:r>
              <a:rPr lang="en-GB" baseline="0"/>
              <a:t> Wise Product</a:t>
            </a:r>
            <a:r>
              <a:rPr lang="en-GB"/>
              <a: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0-3D6F-9647-8BBF-07F85FC2C26E}"/>
            </c:ext>
          </c:extLst>
        </c:ser>
        <c:ser>
          <c:idx val="1"/>
          <c:order val="1"/>
          <c:tx>
            <c:strRef>
              <c:f>'RPT (4)'!$C$3:$C$4</c:f>
              <c:strCache>
                <c:ptCount val="1"/>
                <c:pt idx="0">
                  <c:v>Hard Disc</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extLst>
            <c:ext xmlns:c16="http://schemas.microsoft.com/office/drawing/2014/chart" uri="{C3380CC4-5D6E-409C-BE32-E72D297353CC}">
              <c16:uniqueId val="{00000009-3D6F-9647-8BBF-07F85FC2C26E}"/>
            </c:ext>
          </c:extLst>
        </c:ser>
        <c:ser>
          <c:idx val="2"/>
          <c:order val="2"/>
          <c:tx>
            <c:strRef>
              <c:f>'RPT (4)'!$D$3:$D$4</c:f>
              <c:strCache>
                <c:ptCount val="1"/>
                <c:pt idx="0">
                  <c:v>Laptop</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0A-3D6F-9647-8BBF-07F85FC2C26E}"/>
            </c:ext>
          </c:extLst>
        </c:ser>
        <c:ser>
          <c:idx val="3"/>
          <c:order val="3"/>
          <c:tx>
            <c:strRef>
              <c:f>'RPT (4)'!$E$3:$E$4</c:f>
              <c:strCache>
                <c:ptCount val="1"/>
                <c:pt idx="0">
                  <c:v>Mobile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extLst>
            <c:ext xmlns:c16="http://schemas.microsoft.com/office/drawing/2014/chart" uri="{C3380CC4-5D6E-409C-BE32-E72D297353CC}">
              <c16:uniqueId val="{0000000B-3D6F-9647-8BBF-07F85FC2C26E}"/>
            </c:ext>
          </c:extLst>
        </c:ser>
        <c:ser>
          <c:idx val="4"/>
          <c:order val="4"/>
          <c:tx>
            <c:strRef>
              <c:f>'RPT (4)'!$F$3:$F$4</c:f>
              <c:strCache>
                <c:ptCount val="1"/>
                <c:pt idx="0">
                  <c:v>Table</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extLst>
            <c:ext xmlns:c16="http://schemas.microsoft.com/office/drawing/2014/chart" uri="{C3380CC4-5D6E-409C-BE32-E72D297353CC}">
              <c16:uniqueId val="{0000000C-3D6F-9647-8BBF-07F85FC2C26E}"/>
            </c:ext>
          </c:extLst>
        </c:ser>
        <c:ser>
          <c:idx val="5"/>
          <c:order val="5"/>
          <c:tx>
            <c:strRef>
              <c:f>'RPT (4)'!$G$3:$G$4</c:f>
              <c:strCache>
                <c:ptCount val="1"/>
                <c:pt idx="0">
                  <c:v>TV</c:v>
                </c:pt>
              </c:strCache>
            </c:strRef>
          </c:tx>
          <c:spPr>
            <a:solidFill>
              <a:schemeClr val="accent6"/>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extLst>
            <c:ext xmlns:c16="http://schemas.microsoft.com/office/drawing/2014/chart" uri="{C3380CC4-5D6E-409C-BE32-E72D297353CC}">
              <c16:uniqueId val="{0000000D-3D6F-9647-8BBF-07F85FC2C26E}"/>
            </c:ext>
          </c:extLst>
        </c:ser>
        <c:dLbls>
          <c:showLegendKey val="0"/>
          <c:showVal val="0"/>
          <c:showCatName val="0"/>
          <c:showSerName val="0"/>
          <c:showPercent val="0"/>
          <c:showBubbleSize val="0"/>
        </c:dLbls>
        <c:gapWidth val="219"/>
        <c:overlap val="-27"/>
        <c:axId val="122990896"/>
        <c:axId val="45839856"/>
      </c:barChart>
      <c:catAx>
        <c:axId val="12299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9856"/>
        <c:crosses val="autoZero"/>
        <c:auto val="1"/>
        <c:lblAlgn val="ctr"/>
        <c:lblOffset val="100"/>
        <c:noMultiLvlLbl val="0"/>
      </c:catAx>
      <c:valAx>
        <c:axId val="4583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90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(2)!MYPT1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Wise</a:t>
            </a:r>
            <a:r>
              <a:rPr lang="en-US" baseline="0"/>
              <a:t>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pivotFmt>
      <c:pivotFmt>
        <c:idx val="7"/>
        <c:spPr>
          <a:solidFill>
            <a:schemeClr val="accent1"/>
          </a:solidFill>
          <a:ln>
            <a:noFill/>
          </a:ln>
          <a:effectLst/>
          <a:sp3d/>
        </c:spPr>
      </c:pivotFmt>
      <c:pivotFmt>
        <c:idx val="8"/>
        <c:spPr>
          <a:solidFill>
            <a:schemeClr val="accent1"/>
          </a:solidFill>
          <a:ln>
            <a:noFill/>
          </a:ln>
          <a:effectLst/>
          <a:sp3d/>
        </c:spPr>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pivotFmt>
      <c:pivotFmt>
        <c:idx val="14"/>
        <c:spPr>
          <a:solidFill>
            <a:schemeClr val="accent1"/>
          </a:solidFill>
          <a:ln>
            <a:noFill/>
          </a:ln>
          <a:effectLst/>
          <a:sp3d/>
        </c:spPr>
      </c:pivotFmt>
      <c:pivotFmt>
        <c:idx val="15"/>
        <c:spPr>
          <a:solidFill>
            <a:schemeClr val="accent1"/>
          </a:solidFill>
          <a:ln>
            <a:noFill/>
          </a:ln>
          <a:effectLst/>
          <a:sp3d/>
        </c:spPr>
      </c:pivotFmt>
      <c:pivotFmt>
        <c:idx val="16"/>
        <c:spPr>
          <a:solidFill>
            <a:schemeClr val="accent1"/>
          </a:solidFill>
          <a:ln>
            <a:noFill/>
          </a:ln>
          <a:effectLst/>
          <a:sp3d/>
        </c:spPr>
      </c:pivotFmt>
      <c:pivotFmt>
        <c:idx val="17"/>
        <c:spPr>
          <a:solidFill>
            <a:schemeClr val="accent1"/>
          </a:solidFill>
          <a:ln>
            <a:noFill/>
          </a:ln>
          <a:effectLst/>
          <a:sp3d/>
        </c:spPr>
      </c:pivotFmt>
      <c:pivotFmt>
        <c:idx val="18"/>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6366-674B-AD50-F57E219BA62B}"/>
              </c:ext>
            </c:extLst>
          </c:dPt>
          <c:dPt>
            <c:idx val="1"/>
            <c:bubble3D val="0"/>
            <c:spPr>
              <a:solidFill>
                <a:schemeClr val="accent2"/>
              </a:solidFill>
              <a:ln>
                <a:noFill/>
              </a:ln>
              <a:effectLst/>
              <a:sp3d/>
            </c:spPr>
            <c:extLst>
              <c:ext xmlns:c16="http://schemas.microsoft.com/office/drawing/2014/chart" uri="{C3380CC4-5D6E-409C-BE32-E72D297353CC}">
                <c16:uniqueId val="{00000003-6366-674B-AD50-F57E219BA62B}"/>
              </c:ext>
            </c:extLst>
          </c:dPt>
          <c:dPt>
            <c:idx val="2"/>
            <c:bubble3D val="0"/>
            <c:spPr>
              <a:solidFill>
                <a:schemeClr val="accent3"/>
              </a:solidFill>
              <a:ln>
                <a:noFill/>
              </a:ln>
              <a:effectLst/>
              <a:sp3d/>
            </c:spPr>
            <c:extLst>
              <c:ext xmlns:c16="http://schemas.microsoft.com/office/drawing/2014/chart" uri="{C3380CC4-5D6E-409C-BE32-E72D297353CC}">
                <c16:uniqueId val="{00000005-6366-674B-AD50-F57E219BA62B}"/>
              </c:ext>
            </c:extLst>
          </c:dPt>
          <c:dPt>
            <c:idx val="3"/>
            <c:bubble3D val="0"/>
            <c:spPr>
              <a:solidFill>
                <a:schemeClr val="accent4"/>
              </a:solidFill>
              <a:ln>
                <a:noFill/>
              </a:ln>
              <a:effectLst/>
              <a:sp3d/>
            </c:spPr>
            <c:extLst>
              <c:ext xmlns:c16="http://schemas.microsoft.com/office/drawing/2014/chart" uri="{C3380CC4-5D6E-409C-BE32-E72D297353CC}">
                <c16:uniqueId val="{00000007-6366-674B-AD50-F57E219BA62B}"/>
              </c:ext>
            </c:extLst>
          </c:dPt>
          <c:dPt>
            <c:idx val="4"/>
            <c:bubble3D val="0"/>
            <c:spPr>
              <a:solidFill>
                <a:schemeClr val="accent5"/>
              </a:solidFill>
              <a:ln>
                <a:noFill/>
              </a:ln>
              <a:effectLst/>
              <a:sp3d/>
            </c:spPr>
            <c:extLst>
              <c:ext xmlns:c16="http://schemas.microsoft.com/office/drawing/2014/chart" uri="{C3380CC4-5D6E-409C-BE32-E72D297353CC}">
                <c16:uniqueId val="{00000009-6366-674B-AD50-F57E219BA62B}"/>
              </c:ext>
            </c:extLst>
          </c:dPt>
          <c:dPt>
            <c:idx val="5"/>
            <c:bubble3D val="0"/>
            <c:spPr>
              <a:solidFill>
                <a:schemeClr val="accent6"/>
              </a:solidFill>
              <a:ln>
                <a:noFill/>
              </a:ln>
              <a:effectLst/>
              <a:sp3d/>
            </c:spPr>
            <c:extLst>
              <c:ext xmlns:c16="http://schemas.microsoft.com/office/drawing/2014/chart" uri="{C3380CC4-5D6E-409C-BE32-E72D297353CC}">
                <c16:uniqueId val="{0000000B-6366-674B-AD50-F57E219BA62B}"/>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C-6366-674B-AD50-F57E219BA62B}"/>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Project.xlsm]RPT!MYPT1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 wise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3E5-D04F-AAF2-31A0859BF595}"/>
              </c:ext>
            </c:extLst>
          </c:dPt>
          <c:dPt>
            <c:idx val="1"/>
            <c:bubble3D val="0"/>
            <c:spPr>
              <a:solidFill>
                <a:schemeClr val="accent2"/>
              </a:solidFill>
              <a:ln>
                <a:noFill/>
              </a:ln>
              <a:effectLst/>
            </c:spPr>
            <c:extLst>
              <c:ext xmlns:c16="http://schemas.microsoft.com/office/drawing/2014/chart" uri="{C3380CC4-5D6E-409C-BE32-E72D297353CC}">
                <c16:uniqueId val="{00000003-B3E5-D04F-AAF2-31A0859BF595}"/>
              </c:ext>
            </c:extLst>
          </c:dPt>
          <c:dPt>
            <c:idx val="2"/>
            <c:bubble3D val="0"/>
            <c:spPr>
              <a:solidFill>
                <a:schemeClr val="accent3"/>
              </a:solidFill>
              <a:ln>
                <a:noFill/>
              </a:ln>
              <a:effectLst/>
            </c:spPr>
            <c:extLst>
              <c:ext xmlns:c16="http://schemas.microsoft.com/office/drawing/2014/chart" uri="{C3380CC4-5D6E-409C-BE32-E72D297353CC}">
                <c16:uniqueId val="{00000005-B3E5-D04F-AAF2-31A0859BF595}"/>
              </c:ext>
            </c:extLst>
          </c:dPt>
          <c:dPt>
            <c:idx val="3"/>
            <c:bubble3D val="0"/>
            <c:spPr>
              <a:solidFill>
                <a:schemeClr val="accent4"/>
              </a:solidFill>
              <a:ln>
                <a:noFill/>
              </a:ln>
              <a:effectLst/>
            </c:spPr>
            <c:extLst>
              <c:ext xmlns:c16="http://schemas.microsoft.com/office/drawing/2014/chart" uri="{C3380CC4-5D6E-409C-BE32-E72D297353CC}">
                <c16:uniqueId val="{00000007-B3E5-D04F-AAF2-31A0859BF595}"/>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8-B3E5-D04F-AAF2-31A0859BF59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(3)!MYPT1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Area Wise Product</a:t>
            </a:r>
            <a:r>
              <a:rPr lang="en-GB" baseline="0"/>
              <a:t> Sale</a:t>
            </a:r>
          </a:p>
          <a:p>
            <a:pPr>
              <a:defRPr/>
            </a:pP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0-2101-8E4D-A7E3-5D3216FA04EA}"/>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extLst>
            <c:ext xmlns:c16="http://schemas.microsoft.com/office/drawing/2014/chart" uri="{C3380CC4-5D6E-409C-BE32-E72D297353CC}">
              <c16:uniqueId val="{00000009-2101-8E4D-A7E3-5D3216FA04EA}"/>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extLst>
            <c:ext xmlns:c16="http://schemas.microsoft.com/office/drawing/2014/chart" uri="{C3380CC4-5D6E-409C-BE32-E72D297353CC}">
              <c16:uniqueId val="{0000000A-2101-8E4D-A7E3-5D3216FA04EA}"/>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extLst>
            <c:ext xmlns:c16="http://schemas.microsoft.com/office/drawing/2014/chart" uri="{C3380CC4-5D6E-409C-BE32-E72D297353CC}">
              <c16:uniqueId val="{0000000B-2101-8E4D-A7E3-5D3216FA04EA}"/>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extLst>
            <c:ext xmlns:c16="http://schemas.microsoft.com/office/drawing/2014/chart" uri="{C3380CC4-5D6E-409C-BE32-E72D297353CC}">
              <c16:uniqueId val="{0000000C-2101-8E4D-A7E3-5D3216FA04EA}"/>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extLst>
            <c:ext xmlns:c16="http://schemas.microsoft.com/office/drawing/2014/chart" uri="{C3380CC4-5D6E-409C-BE32-E72D297353CC}">
              <c16:uniqueId val="{0000000D-2101-8E4D-A7E3-5D3216FA04EA}"/>
            </c:ext>
          </c:extLst>
        </c:ser>
        <c:dLbls>
          <c:showLegendKey val="0"/>
          <c:showVal val="0"/>
          <c:showCatName val="0"/>
          <c:showSerName val="0"/>
          <c:showPercent val="0"/>
          <c:showBubbleSize val="0"/>
        </c:dLbls>
        <c:gapWidth val="219"/>
        <c:axId val="122990896"/>
        <c:axId val="45839856"/>
      </c:barChart>
      <c:catAx>
        <c:axId val="122990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9856"/>
        <c:crosses val="autoZero"/>
        <c:auto val="1"/>
        <c:lblAlgn val="ctr"/>
        <c:lblOffset val="100"/>
        <c:noMultiLvlLbl val="0"/>
      </c:catAx>
      <c:valAx>
        <c:axId val="45839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90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(4)!MYPT1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Date</a:t>
            </a:r>
            <a:r>
              <a:rPr lang="en-GB" baseline="0"/>
              <a:t> Wise Product</a:t>
            </a:r>
            <a:r>
              <a:rPr lang="en-GB"/>
              <a: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3-7683-1D48-BD5B-3E41631B49FE}"/>
            </c:ext>
          </c:extLst>
        </c:ser>
        <c:ser>
          <c:idx val="1"/>
          <c:order val="1"/>
          <c:tx>
            <c:strRef>
              <c:f>'RPT (4)'!$C$3:$C$4</c:f>
              <c:strCache>
                <c:ptCount val="1"/>
                <c:pt idx="0">
                  <c:v>Hard Disc</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extLst>
            <c:ext xmlns:c16="http://schemas.microsoft.com/office/drawing/2014/chart" uri="{C3380CC4-5D6E-409C-BE32-E72D297353CC}">
              <c16:uniqueId val="{0000000B-7683-1D48-BD5B-3E41631B49FE}"/>
            </c:ext>
          </c:extLst>
        </c:ser>
        <c:ser>
          <c:idx val="2"/>
          <c:order val="2"/>
          <c:tx>
            <c:strRef>
              <c:f>'RPT (4)'!$D$3:$D$4</c:f>
              <c:strCache>
                <c:ptCount val="1"/>
                <c:pt idx="0">
                  <c:v>Laptop</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0C-7683-1D48-BD5B-3E41631B49FE}"/>
            </c:ext>
          </c:extLst>
        </c:ser>
        <c:ser>
          <c:idx val="3"/>
          <c:order val="3"/>
          <c:tx>
            <c:strRef>
              <c:f>'RPT (4)'!$E$3:$E$4</c:f>
              <c:strCache>
                <c:ptCount val="1"/>
                <c:pt idx="0">
                  <c:v>Mobile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extLst>
            <c:ext xmlns:c16="http://schemas.microsoft.com/office/drawing/2014/chart" uri="{C3380CC4-5D6E-409C-BE32-E72D297353CC}">
              <c16:uniqueId val="{0000000D-7683-1D48-BD5B-3E41631B49FE}"/>
            </c:ext>
          </c:extLst>
        </c:ser>
        <c:ser>
          <c:idx val="4"/>
          <c:order val="4"/>
          <c:tx>
            <c:strRef>
              <c:f>'RPT (4)'!$F$3:$F$4</c:f>
              <c:strCache>
                <c:ptCount val="1"/>
                <c:pt idx="0">
                  <c:v>Table</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extLst>
            <c:ext xmlns:c16="http://schemas.microsoft.com/office/drawing/2014/chart" uri="{C3380CC4-5D6E-409C-BE32-E72D297353CC}">
              <c16:uniqueId val="{0000000E-7683-1D48-BD5B-3E41631B49FE}"/>
            </c:ext>
          </c:extLst>
        </c:ser>
        <c:ser>
          <c:idx val="5"/>
          <c:order val="5"/>
          <c:tx>
            <c:strRef>
              <c:f>'RPT (4)'!$G$3:$G$4</c:f>
              <c:strCache>
                <c:ptCount val="1"/>
                <c:pt idx="0">
                  <c:v>TV</c:v>
                </c:pt>
              </c:strCache>
            </c:strRef>
          </c:tx>
          <c:spPr>
            <a:solidFill>
              <a:schemeClr val="accent6"/>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extLst>
            <c:ext xmlns:c16="http://schemas.microsoft.com/office/drawing/2014/chart" uri="{C3380CC4-5D6E-409C-BE32-E72D297353CC}">
              <c16:uniqueId val="{0000000F-7683-1D48-BD5B-3E41631B49FE}"/>
            </c:ext>
          </c:extLst>
        </c:ser>
        <c:dLbls>
          <c:showLegendKey val="0"/>
          <c:showVal val="0"/>
          <c:showCatName val="0"/>
          <c:showSerName val="0"/>
          <c:showPercent val="0"/>
          <c:showBubbleSize val="0"/>
        </c:dLbls>
        <c:gapWidth val="219"/>
        <c:overlap val="-27"/>
        <c:axId val="122990896"/>
        <c:axId val="45839856"/>
      </c:barChart>
      <c:catAx>
        <c:axId val="12299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9856"/>
        <c:crosses val="autoZero"/>
        <c:auto val="1"/>
        <c:lblAlgn val="ctr"/>
        <c:lblOffset val="100"/>
        <c:noMultiLvlLbl val="0"/>
      </c:catAx>
      <c:valAx>
        <c:axId val="4583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90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(3)!MYPT1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Area Wise Product</a:t>
            </a:r>
            <a:r>
              <a:rPr lang="en-GB" baseline="0"/>
              <a:t> Sale</a:t>
            </a:r>
          </a:p>
          <a:p>
            <a:pPr>
              <a:defRPr/>
            </a:pP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3-066D-D042-8CBD-F32F627244D3}"/>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extLst>
            <c:ext xmlns:c16="http://schemas.microsoft.com/office/drawing/2014/chart" uri="{C3380CC4-5D6E-409C-BE32-E72D297353CC}">
              <c16:uniqueId val="{0000000B-066D-D042-8CBD-F32F627244D3}"/>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extLst>
            <c:ext xmlns:c16="http://schemas.microsoft.com/office/drawing/2014/chart" uri="{C3380CC4-5D6E-409C-BE32-E72D297353CC}">
              <c16:uniqueId val="{0000000C-066D-D042-8CBD-F32F627244D3}"/>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extLst>
            <c:ext xmlns:c16="http://schemas.microsoft.com/office/drawing/2014/chart" uri="{C3380CC4-5D6E-409C-BE32-E72D297353CC}">
              <c16:uniqueId val="{0000000D-066D-D042-8CBD-F32F627244D3}"/>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extLst>
            <c:ext xmlns:c16="http://schemas.microsoft.com/office/drawing/2014/chart" uri="{C3380CC4-5D6E-409C-BE32-E72D297353CC}">
              <c16:uniqueId val="{0000000E-066D-D042-8CBD-F32F627244D3}"/>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extLst>
            <c:ext xmlns:c16="http://schemas.microsoft.com/office/drawing/2014/chart" uri="{C3380CC4-5D6E-409C-BE32-E72D297353CC}">
              <c16:uniqueId val="{0000000F-066D-D042-8CBD-F32F627244D3}"/>
            </c:ext>
          </c:extLst>
        </c:ser>
        <c:dLbls>
          <c:showLegendKey val="0"/>
          <c:showVal val="0"/>
          <c:showCatName val="0"/>
          <c:showSerName val="0"/>
          <c:showPercent val="0"/>
          <c:showBubbleSize val="0"/>
        </c:dLbls>
        <c:gapWidth val="219"/>
        <c:axId val="122990896"/>
        <c:axId val="45839856"/>
      </c:barChart>
      <c:catAx>
        <c:axId val="122990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9856"/>
        <c:crosses val="autoZero"/>
        <c:auto val="1"/>
        <c:lblAlgn val="ctr"/>
        <c:lblOffset val="100"/>
        <c:noMultiLvlLbl val="0"/>
      </c:catAx>
      <c:valAx>
        <c:axId val="45839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90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(2)!MYPT1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Wise</a:t>
            </a:r>
            <a:r>
              <a:rPr lang="en-US" baseline="0"/>
              <a:t>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dPt>
          <c:dPt>
            <c:idx val="1"/>
            <c:bubble3D val="0"/>
            <c:spPr>
              <a:solidFill>
                <a:schemeClr val="accent2"/>
              </a:solidFill>
              <a:ln>
                <a:noFill/>
              </a:ln>
              <a:effectLst/>
              <a:sp3d/>
            </c:spPr>
          </c:dPt>
          <c:dPt>
            <c:idx val="2"/>
            <c:bubble3D val="0"/>
            <c:spPr>
              <a:solidFill>
                <a:schemeClr val="accent3"/>
              </a:solidFill>
              <a:ln>
                <a:noFill/>
              </a:ln>
              <a:effectLst/>
              <a:sp3d/>
            </c:spPr>
          </c:dPt>
          <c:dPt>
            <c:idx val="3"/>
            <c:bubble3D val="0"/>
            <c:spPr>
              <a:solidFill>
                <a:schemeClr val="accent4"/>
              </a:solidFill>
              <a:ln>
                <a:noFill/>
              </a:ln>
              <a:effectLst/>
              <a:sp3d/>
            </c:spPr>
          </c:dPt>
          <c:dPt>
            <c:idx val="4"/>
            <c:bubble3D val="0"/>
            <c:spPr>
              <a:solidFill>
                <a:schemeClr val="accent5"/>
              </a:solidFill>
              <a:ln>
                <a:noFill/>
              </a:ln>
              <a:effectLst/>
              <a:sp3d/>
            </c:spPr>
          </c:dPt>
          <c:dPt>
            <c:idx val="5"/>
            <c:bubble3D val="0"/>
            <c:spPr>
              <a:solidFill>
                <a:schemeClr val="accent6"/>
              </a:solidFill>
              <a:ln>
                <a:noFill/>
              </a:ln>
              <a:effectLst/>
              <a:sp3d/>
            </c:spPr>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4-F51F-5142-9179-02668C6FDEC6}"/>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Project.xlsm]RPT!MYPT1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 wise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0-A581-174F-BACE-89862D03FEB3}"/>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1016</xdr:colOff>
      <xdr:row>11</xdr:row>
      <xdr:rowOff>80772</xdr:rowOff>
    </xdr:to>
    <xdr:graphicFrame macro="">
      <xdr:nvGraphicFramePr>
        <xdr:cNvPr id="18" name="MyChart 1">
          <a:extLst>
            <a:ext uri="{FF2B5EF4-FFF2-40B4-BE49-F238E27FC236}">
              <a16:creationId xmlns:a16="http://schemas.microsoft.com/office/drawing/2014/main" id="{CA7D38B7-A1D6-C448-9100-E9C0566BE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0</xdr:rowOff>
    </xdr:from>
    <xdr:to>
      <xdr:col>16</xdr:col>
      <xdr:colOff>1016</xdr:colOff>
      <xdr:row>11</xdr:row>
      <xdr:rowOff>80772</xdr:rowOff>
    </xdr:to>
    <xdr:graphicFrame macro="">
      <xdr:nvGraphicFramePr>
        <xdr:cNvPr id="20" name="MyChart 1">
          <a:extLst>
            <a:ext uri="{FF2B5EF4-FFF2-40B4-BE49-F238E27FC236}">
              <a16:creationId xmlns:a16="http://schemas.microsoft.com/office/drawing/2014/main" id="{BDCEBAF1-A9E1-514B-9446-800D829FFA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0</xdr:colOff>
      <xdr:row>14</xdr:row>
      <xdr:rowOff>127001</xdr:rowOff>
    </xdr:from>
    <xdr:to>
      <xdr:col>20</xdr:col>
      <xdr:colOff>508000</xdr:colOff>
      <xdr:row>23</xdr:row>
      <xdr:rowOff>0</xdr:rowOff>
    </xdr:to>
    <mc:AlternateContent xmlns:mc="http://schemas.openxmlformats.org/markup-compatibility/2006">
      <mc:Choice xmlns:a14="http://schemas.microsoft.com/office/drawing/2010/main" Requires="a14">
        <xdr:graphicFrame macro="">
          <xdr:nvGraphicFramePr>
            <xdr:cNvPr id="22" name="Date">
              <a:extLst>
                <a:ext uri="{FF2B5EF4-FFF2-40B4-BE49-F238E27FC236}">
                  <a16:creationId xmlns:a16="http://schemas.microsoft.com/office/drawing/2014/main" id="{E1426782-5353-1746-91D4-F595ECEFAD84}"/>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0769600" y="2794001"/>
              <a:ext cx="3200400" cy="15874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8</xdr:row>
      <xdr:rowOff>165100</xdr:rowOff>
    </xdr:from>
    <xdr:to>
      <xdr:col>20</xdr:col>
      <xdr:colOff>508000</xdr:colOff>
      <xdr:row>14</xdr:row>
      <xdr:rowOff>114300</xdr:rowOff>
    </xdr:to>
    <mc:AlternateContent xmlns:mc="http://schemas.openxmlformats.org/markup-compatibility/2006">
      <mc:Choice xmlns:a14="http://schemas.microsoft.com/office/drawing/2010/main" Requires="a14">
        <xdr:graphicFrame macro="">
          <xdr:nvGraphicFramePr>
            <xdr:cNvPr id="23" name="Product">
              <a:extLst>
                <a:ext uri="{FF2B5EF4-FFF2-40B4-BE49-F238E27FC236}">
                  <a16:creationId xmlns:a16="http://schemas.microsoft.com/office/drawing/2014/main" id="{9452DB09-C81D-064B-A7F1-4767745419B3}"/>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0769600" y="1689100"/>
              <a:ext cx="3200400" cy="1092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3</xdr:row>
      <xdr:rowOff>25400</xdr:rowOff>
    </xdr:from>
    <xdr:to>
      <xdr:col>20</xdr:col>
      <xdr:colOff>508000</xdr:colOff>
      <xdr:row>8</xdr:row>
      <xdr:rowOff>165100</xdr:rowOff>
    </xdr:to>
    <mc:AlternateContent xmlns:mc="http://schemas.openxmlformats.org/markup-compatibility/2006">
      <mc:Choice xmlns:a14="http://schemas.microsoft.com/office/drawing/2010/main" Requires="a14">
        <xdr:graphicFrame macro="">
          <xdr:nvGraphicFramePr>
            <xdr:cNvPr id="24" name="Name">
              <a:extLst>
                <a:ext uri="{FF2B5EF4-FFF2-40B4-BE49-F238E27FC236}">
                  <a16:creationId xmlns:a16="http://schemas.microsoft.com/office/drawing/2014/main" id="{5AE41771-663A-7C45-8333-2028BA0813D5}"/>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0769600" y="596900"/>
              <a:ext cx="3200400" cy="1092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0</xdr:row>
      <xdr:rowOff>0</xdr:rowOff>
    </xdr:from>
    <xdr:to>
      <xdr:col>20</xdr:col>
      <xdr:colOff>508000</xdr:colOff>
      <xdr:row>3</xdr:row>
      <xdr:rowOff>38100</xdr:rowOff>
    </xdr:to>
    <mc:AlternateContent xmlns:mc="http://schemas.openxmlformats.org/markup-compatibility/2006">
      <mc:Choice xmlns:a14="http://schemas.microsoft.com/office/drawing/2010/main" Requires="a14">
        <xdr:graphicFrame macro="">
          <xdr:nvGraphicFramePr>
            <xdr:cNvPr id="25" name="Area">
              <a:extLst>
                <a:ext uri="{FF2B5EF4-FFF2-40B4-BE49-F238E27FC236}">
                  <a16:creationId xmlns:a16="http://schemas.microsoft.com/office/drawing/2014/main" id="{7AA72B4D-3E39-DA45-827F-63641EEEAC75}"/>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10769600" y="0"/>
              <a:ext cx="3200400" cy="609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11</xdr:row>
      <xdr:rowOff>88900</xdr:rowOff>
    </xdr:from>
    <xdr:to>
      <xdr:col>8</xdr:col>
      <xdr:colOff>1016</xdr:colOff>
      <xdr:row>22</xdr:row>
      <xdr:rowOff>169672</xdr:rowOff>
    </xdr:to>
    <xdr:graphicFrame macro="">
      <xdr:nvGraphicFramePr>
        <xdr:cNvPr id="26" name="MyChart 1">
          <a:extLst>
            <a:ext uri="{FF2B5EF4-FFF2-40B4-BE49-F238E27FC236}">
              <a16:creationId xmlns:a16="http://schemas.microsoft.com/office/drawing/2014/main" id="{BD99DE7E-849C-914B-A022-7F42B2DF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88900</xdr:rowOff>
    </xdr:from>
    <xdr:to>
      <xdr:col>16</xdr:col>
      <xdr:colOff>1016</xdr:colOff>
      <xdr:row>22</xdr:row>
      <xdr:rowOff>169672</xdr:rowOff>
    </xdr:to>
    <xdr:graphicFrame macro="">
      <xdr:nvGraphicFramePr>
        <xdr:cNvPr id="27" name="MyChart 1">
          <a:extLst>
            <a:ext uri="{FF2B5EF4-FFF2-40B4-BE49-F238E27FC236}">
              <a16:creationId xmlns:a16="http://schemas.microsoft.com/office/drawing/2014/main" id="{D8CB6AC9-2AB9-D540-98A3-9D8CC948C2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812800</xdr:colOff>
      <xdr:row>0</xdr:row>
      <xdr:rowOff>0</xdr:rowOff>
    </xdr:from>
    <xdr:to>
      <xdr:col>15</xdr:col>
      <xdr:colOff>420116</xdr:colOff>
      <xdr:row>11</xdr:row>
      <xdr:rowOff>89916</xdr:rowOff>
    </xdr:to>
    <xdr:graphicFrame macro="">
      <xdr:nvGraphicFramePr>
        <xdr:cNvPr id="2" name="MyChart 1">
          <a:extLst>
            <a:ext uri="{FF2B5EF4-FFF2-40B4-BE49-F238E27FC236}">
              <a16:creationId xmlns:a16="http://schemas.microsoft.com/office/drawing/2014/main" id="{C68BC986-C45B-0A46-86D7-AB21462898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812800</xdr:colOff>
      <xdr:row>0</xdr:row>
      <xdr:rowOff>0</xdr:rowOff>
    </xdr:from>
    <xdr:to>
      <xdr:col>15</xdr:col>
      <xdr:colOff>420116</xdr:colOff>
      <xdr:row>11</xdr:row>
      <xdr:rowOff>89916</xdr:rowOff>
    </xdr:to>
    <xdr:graphicFrame macro="">
      <xdr:nvGraphicFramePr>
        <xdr:cNvPr id="2" name="MyChart 1">
          <a:extLst>
            <a:ext uri="{FF2B5EF4-FFF2-40B4-BE49-F238E27FC236}">
              <a16:creationId xmlns:a16="http://schemas.microsoft.com/office/drawing/2014/main" id="{53A4B741-C209-BA4E-A48F-BAF55E70A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12</xdr:col>
      <xdr:colOff>432816</xdr:colOff>
      <xdr:row>11</xdr:row>
      <xdr:rowOff>89916</xdr:rowOff>
    </xdr:to>
    <xdr:graphicFrame macro="">
      <xdr:nvGraphicFramePr>
        <xdr:cNvPr id="2" name="MyChart 1">
          <a:extLst>
            <a:ext uri="{FF2B5EF4-FFF2-40B4-BE49-F238E27FC236}">
              <a16:creationId xmlns:a16="http://schemas.microsoft.com/office/drawing/2014/main" id="{2DB5B220-566F-6748-AD9D-996969E013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812800</xdr:colOff>
      <xdr:row>0</xdr:row>
      <xdr:rowOff>12700</xdr:rowOff>
    </xdr:from>
    <xdr:to>
      <xdr:col>12</xdr:col>
      <xdr:colOff>420116</xdr:colOff>
      <xdr:row>11</xdr:row>
      <xdr:rowOff>102616</xdr:rowOff>
    </xdr:to>
    <xdr:graphicFrame macro="">
      <xdr:nvGraphicFramePr>
        <xdr:cNvPr id="2" name="MyChart 1">
          <a:extLst>
            <a:ext uri="{FF2B5EF4-FFF2-40B4-BE49-F238E27FC236}">
              <a16:creationId xmlns:a16="http://schemas.microsoft.com/office/drawing/2014/main" id="{8653A22B-EBA3-FE44-A1A5-67A49B5F86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12</xdr:col>
      <xdr:colOff>508000</xdr:colOff>
      <xdr:row>0</xdr:row>
      <xdr:rowOff>88900</xdr:rowOff>
    </xdr:from>
    <xdr:ext cx="184731" cy="264560"/>
    <xdr:sp macro="" textlink="">
      <xdr:nvSpPr>
        <xdr:cNvPr id="2" name="TextBox 1">
          <a:extLst>
            <a:ext uri="{FF2B5EF4-FFF2-40B4-BE49-F238E27FC236}">
              <a16:creationId xmlns:a16="http://schemas.microsoft.com/office/drawing/2014/main" id="{B23AE8EF-810D-4244-9294-5F86897E0BDA}"/>
            </a:ext>
          </a:extLst>
        </xdr:cNvPr>
        <xdr:cNvSpPr txBox="1"/>
      </xdr:nvSpPr>
      <xdr:spPr>
        <a:xfrm>
          <a:off x="8864600" y="88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9</xdr:col>
      <xdr:colOff>12700</xdr:colOff>
      <xdr:row>0</xdr:row>
      <xdr:rowOff>0</xdr:rowOff>
    </xdr:from>
    <xdr:to>
      <xdr:col>11</xdr:col>
      <xdr:colOff>139700</xdr:colOff>
      <xdr:row>2</xdr:row>
      <xdr:rowOff>0</xdr:rowOff>
    </xdr:to>
    <xdr:sp macro="[0]!collectdata" textlink="">
      <xdr:nvSpPr>
        <xdr:cNvPr id="4" name="Bevel 3">
          <a:extLst>
            <a:ext uri="{FF2B5EF4-FFF2-40B4-BE49-F238E27FC236}">
              <a16:creationId xmlns:a16="http://schemas.microsoft.com/office/drawing/2014/main" id="{779AE651-C98F-E945-B1C3-B661C560733D}"/>
            </a:ext>
          </a:extLst>
        </xdr:cNvPr>
        <xdr:cNvSpPr/>
      </xdr:nvSpPr>
      <xdr:spPr>
        <a:xfrm>
          <a:off x="6350000" y="0"/>
          <a:ext cx="1473200" cy="381000"/>
        </a:xfrm>
        <a:prstGeom prst="bevel">
          <a:avLst/>
        </a:prstGeom>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ln>
                <a:solidFill>
                  <a:schemeClr val="bg1"/>
                </a:solidFill>
              </a:ln>
              <a:solidFill>
                <a:schemeClr val="bg1"/>
              </a:solidFill>
              <a:effectLst>
                <a:reflection blurRad="6350" stA="55000" endA="50" endPos="85000" dist="29997" dir="5400000" sy="-100000" algn="bl" rotWithShape="0"/>
              </a:effectLst>
            </a:rPr>
            <a:t>       BRING DATA</a:t>
          </a:r>
        </a:p>
      </xdr:txBody>
    </xdr:sp>
    <xdr:clientData/>
  </xdr:twoCellAnchor>
  <xdr:twoCellAnchor>
    <xdr:from>
      <xdr:col>13</xdr:col>
      <xdr:colOff>12700</xdr:colOff>
      <xdr:row>0</xdr:row>
      <xdr:rowOff>0</xdr:rowOff>
    </xdr:from>
    <xdr:to>
      <xdr:col>14</xdr:col>
      <xdr:colOff>660400</xdr:colOff>
      <xdr:row>2</xdr:row>
      <xdr:rowOff>0</xdr:rowOff>
    </xdr:to>
    <xdr:sp macro="[0]!copyRPT" textlink="">
      <xdr:nvSpPr>
        <xdr:cNvPr id="5" name="Bevel 4">
          <a:extLst>
            <a:ext uri="{FF2B5EF4-FFF2-40B4-BE49-F238E27FC236}">
              <a16:creationId xmlns:a16="http://schemas.microsoft.com/office/drawing/2014/main" id="{F7975526-0030-0148-8719-16E3B680AED0}"/>
            </a:ext>
          </a:extLst>
        </xdr:cNvPr>
        <xdr:cNvSpPr/>
      </xdr:nvSpPr>
      <xdr:spPr>
        <a:xfrm>
          <a:off x="9042400" y="0"/>
          <a:ext cx="1320800" cy="381000"/>
        </a:xfrm>
        <a:prstGeom prst="bevel">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      </a:t>
          </a:r>
          <a:r>
            <a:rPr lang="en-GB" sz="1100">
              <a:ln>
                <a:solidFill>
                  <a:schemeClr val="bg1"/>
                </a:solidFill>
              </a:ln>
              <a:effectLst>
                <a:reflection blurRad="6350" stA="55000" endA="50" endPos="85000" dist="29997" dir="5400000" sy="-100000" algn="bl" rotWithShape="0"/>
              </a:effectLst>
            </a:rPr>
            <a:t>COPY RPT</a:t>
          </a:r>
        </a:p>
      </xdr:txBody>
    </xdr:sp>
    <xdr:clientData/>
  </xdr:twoCellAnchor>
  <xdr:twoCellAnchor>
    <xdr:from>
      <xdr:col>18</xdr:col>
      <xdr:colOff>12700</xdr:colOff>
      <xdr:row>0</xdr:row>
      <xdr:rowOff>12700</xdr:rowOff>
    </xdr:from>
    <xdr:to>
      <xdr:col>20</xdr:col>
      <xdr:colOff>0</xdr:colOff>
      <xdr:row>1</xdr:row>
      <xdr:rowOff>177800</xdr:rowOff>
    </xdr:to>
    <xdr:sp macro="[0]!Slicer" textlink="">
      <xdr:nvSpPr>
        <xdr:cNvPr id="6" name="Bevel 5">
          <a:extLst>
            <a:ext uri="{FF2B5EF4-FFF2-40B4-BE49-F238E27FC236}">
              <a16:creationId xmlns:a16="http://schemas.microsoft.com/office/drawing/2014/main" id="{313A9664-8F6A-DF44-BA66-B7BC8742BB20}"/>
            </a:ext>
          </a:extLst>
        </xdr:cNvPr>
        <xdr:cNvSpPr/>
      </xdr:nvSpPr>
      <xdr:spPr>
        <a:xfrm>
          <a:off x="12407900" y="12700"/>
          <a:ext cx="1333500" cy="355600"/>
        </a:xfrm>
        <a:prstGeom prst="bevel">
          <a:avLst/>
        </a:prstGeom>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ln>
                <a:solidFill>
                  <a:schemeClr val="bg1"/>
                </a:solidFill>
              </a:ln>
            </a:rPr>
            <a:t>         </a:t>
          </a:r>
          <a:r>
            <a:rPr lang="en-GB" sz="1100">
              <a:ln>
                <a:solidFill>
                  <a:schemeClr val="bg1"/>
                </a:solidFill>
              </a:ln>
              <a:effectLst>
                <a:reflection blurRad="6350" stA="55000" endA="50" endPos="85000" dist="29997" dir="5400000" sy="-100000" algn="bl" rotWithShape="0"/>
              </a:effectLst>
            </a:rPr>
            <a:t>SLICERS</a:t>
          </a:r>
        </a:p>
      </xdr:txBody>
    </xdr:sp>
    <xdr:clientData/>
  </xdr:twoCellAnchor>
  <xdr:twoCellAnchor>
    <xdr:from>
      <xdr:col>23</xdr:col>
      <xdr:colOff>12700</xdr:colOff>
      <xdr:row>0</xdr:row>
      <xdr:rowOff>0</xdr:rowOff>
    </xdr:from>
    <xdr:to>
      <xdr:col>24</xdr:col>
      <xdr:colOff>660400</xdr:colOff>
      <xdr:row>2</xdr:row>
      <xdr:rowOff>0</xdr:rowOff>
    </xdr:to>
    <xdr:sp macro="[0]!Delete" textlink="">
      <xdr:nvSpPr>
        <xdr:cNvPr id="3" name="Bevel 2">
          <a:extLst>
            <a:ext uri="{FF2B5EF4-FFF2-40B4-BE49-F238E27FC236}">
              <a16:creationId xmlns:a16="http://schemas.microsoft.com/office/drawing/2014/main" id="{7EE3CC6D-EF0E-A84A-9DB4-1ADB7A6D71D2}"/>
            </a:ext>
          </a:extLst>
        </xdr:cNvPr>
        <xdr:cNvSpPr/>
      </xdr:nvSpPr>
      <xdr:spPr>
        <a:xfrm>
          <a:off x="15773400" y="0"/>
          <a:ext cx="1320800" cy="381000"/>
        </a:xfrm>
        <a:prstGeom prst="bevel">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path path="circle">
            <a:fillToRect r="100000" b="100000"/>
          </a:path>
          <a:tileRect l="-100000" t="-100000"/>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cap="none" spc="50">
              <a:ln w="9525" cmpd="sng">
                <a:solidFill>
                  <a:schemeClr val="bg1"/>
                </a:solidFill>
                <a:prstDash val="solid"/>
              </a:ln>
              <a:solidFill>
                <a:srgbClr val="70AD47">
                  <a:tint val="1000"/>
                </a:srgbClr>
              </a:solidFill>
              <a:effectLst>
                <a:glow rad="38100">
                  <a:schemeClr val="accent1">
                    <a:alpha val="40000"/>
                  </a:schemeClr>
                </a:glow>
                <a:reflection blurRad="6350" stA="55000" endA="50" endPos="85000" dist="29997" dir="5400000" sy="-100000" algn="bl" rotWithShape="0"/>
              </a:effectLst>
            </a:rPr>
            <a:t>        DELETE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078.511294675925" createdVersion="6" refreshedVersion="6" minRefreshableVersion="3" recordCount="61" xr:uid="{64E3327F-4E1C-BA47-B816-E2849E0D8E8F}">
  <cacheSource type="worksheet">
    <worksheetSource name="My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ount="40">
        <n v="35120"/>
        <n v="63536"/>
        <n v="53449"/>
        <n v="32880"/>
        <n v="66164"/>
        <n v="51040"/>
        <n v="73760"/>
        <n v="39978"/>
        <n v="55286"/>
        <n v="41202"/>
        <n v="45696"/>
        <n v="35386"/>
        <n v="52200"/>
        <n v="29068"/>
        <n v="45690"/>
        <n v="41602"/>
        <n v="42345"/>
        <n v="56748"/>
        <n v="48084"/>
        <n v="34590"/>
        <n v="40570"/>
        <n v="68562"/>
        <n v="63792"/>
        <n v="23460"/>
        <n v="39624"/>
        <n v="73584"/>
        <n v="37965"/>
        <n v="61308"/>
        <n v="30866"/>
        <n v="16750"/>
        <n v="16350"/>
        <n v="72165"/>
        <n v="24320"/>
        <n v="14286"/>
        <n v="35030"/>
        <n v="15880"/>
        <n v="50304"/>
        <n v="9586"/>
        <n v="11020"/>
        <n v="75294"/>
      </sharedItems>
    </cacheField>
  </cacheFields>
  <extLst>
    <ext xmlns:x14="http://schemas.microsoft.com/office/spreadsheetml/2009/9/main" uri="{725AE2AE-9491-48be-B2B4-4EB974FC3084}">
      <x14:pivotCacheDefinition pivotCacheId="8063010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195"/>
    <x v="0"/>
  </r>
  <r>
    <n v="2"/>
    <x v="1"/>
    <x v="1"/>
    <x v="1"/>
    <x v="0"/>
    <n v="16"/>
    <n v="3971"/>
    <x v="1"/>
  </r>
  <r>
    <n v="3"/>
    <x v="2"/>
    <x v="2"/>
    <x v="2"/>
    <x v="0"/>
    <n v="11"/>
    <n v="4859"/>
    <x v="2"/>
  </r>
  <r>
    <n v="4"/>
    <x v="3"/>
    <x v="3"/>
    <x v="3"/>
    <x v="0"/>
    <n v="16"/>
    <n v="2055"/>
    <x v="3"/>
  </r>
  <r>
    <n v="5"/>
    <x v="4"/>
    <x v="4"/>
    <x v="4"/>
    <x v="0"/>
    <n v="17"/>
    <n v="3892"/>
    <x v="4"/>
  </r>
  <r>
    <n v="6"/>
    <x v="5"/>
    <x v="0"/>
    <x v="0"/>
    <x v="0"/>
    <n v="11"/>
    <n v="4640"/>
    <x v="5"/>
  </r>
  <r>
    <n v="7"/>
    <x v="6"/>
    <x v="1"/>
    <x v="1"/>
    <x v="0"/>
    <n v="16"/>
    <n v="4610"/>
    <x v="6"/>
  </r>
  <r>
    <n v="8"/>
    <x v="7"/>
    <x v="2"/>
    <x v="2"/>
    <x v="0"/>
    <n v="18"/>
    <n v="2221"/>
    <x v="7"/>
  </r>
  <r>
    <n v="9"/>
    <x v="8"/>
    <x v="3"/>
    <x v="3"/>
    <x v="0"/>
    <n v="14"/>
    <n v="3949"/>
    <x v="8"/>
  </r>
  <r>
    <n v="10"/>
    <x v="9"/>
    <x v="4"/>
    <x v="4"/>
    <x v="0"/>
    <n v="14"/>
    <n v="2943"/>
    <x v="9"/>
  </r>
  <r>
    <n v="11"/>
    <x v="5"/>
    <x v="0"/>
    <x v="0"/>
    <x v="0"/>
    <n v="11"/>
    <n v="4640"/>
    <x v="5"/>
  </r>
  <r>
    <n v="12"/>
    <x v="6"/>
    <x v="1"/>
    <x v="1"/>
    <x v="0"/>
    <n v="16"/>
    <n v="4610"/>
    <x v="6"/>
  </r>
  <r>
    <n v="13"/>
    <x v="7"/>
    <x v="2"/>
    <x v="2"/>
    <x v="0"/>
    <n v="18"/>
    <n v="2221"/>
    <x v="7"/>
  </r>
  <r>
    <n v="14"/>
    <x v="8"/>
    <x v="3"/>
    <x v="3"/>
    <x v="0"/>
    <n v="14"/>
    <n v="3949"/>
    <x v="8"/>
  </r>
  <r>
    <n v="15"/>
    <x v="9"/>
    <x v="4"/>
    <x v="4"/>
    <x v="0"/>
    <n v="14"/>
    <n v="2943"/>
    <x v="9"/>
  </r>
  <r>
    <n v="16"/>
    <x v="0"/>
    <x v="1"/>
    <x v="0"/>
    <x v="1"/>
    <n v="16"/>
    <n v="2856"/>
    <x v="10"/>
  </r>
  <r>
    <n v="17"/>
    <x v="1"/>
    <x v="0"/>
    <x v="1"/>
    <x v="1"/>
    <n v="13"/>
    <n v="2722"/>
    <x v="11"/>
  </r>
  <r>
    <n v="18"/>
    <x v="2"/>
    <x v="3"/>
    <x v="2"/>
    <x v="1"/>
    <n v="18"/>
    <n v="2900"/>
    <x v="12"/>
  </r>
  <r>
    <n v="19"/>
    <x v="3"/>
    <x v="2"/>
    <x v="3"/>
    <x v="1"/>
    <n v="13"/>
    <n v="2236"/>
    <x v="13"/>
  </r>
  <r>
    <n v="20"/>
    <x v="4"/>
    <x v="5"/>
    <x v="4"/>
    <x v="1"/>
    <n v="10"/>
    <n v="4569"/>
    <x v="14"/>
  </r>
  <r>
    <n v="21"/>
    <x v="5"/>
    <x v="1"/>
    <x v="0"/>
    <x v="1"/>
    <n v="11"/>
    <n v="3782"/>
    <x v="15"/>
  </r>
  <r>
    <n v="22"/>
    <x v="6"/>
    <x v="0"/>
    <x v="1"/>
    <x v="1"/>
    <n v="15"/>
    <n v="2823"/>
    <x v="16"/>
  </r>
  <r>
    <n v="23"/>
    <x v="7"/>
    <x v="3"/>
    <x v="2"/>
    <x v="1"/>
    <n v="12"/>
    <n v="4729"/>
    <x v="17"/>
  </r>
  <r>
    <n v="24"/>
    <x v="8"/>
    <x v="2"/>
    <x v="3"/>
    <x v="1"/>
    <n v="12"/>
    <n v="4007"/>
    <x v="18"/>
  </r>
  <r>
    <n v="25"/>
    <x v="9"/>
    <x v="5"/>
    <x v="4"/>
    <x v="1"/>
    <n v="10"/>
    <n v="3459"/>
    <x v="19"/>
  </r>
  <r>
    <n v="26"/>
    <x v="5"/>
    <x v="1"/>
    <x v="0"/>
    <x v="1"/>
    <n v="11"/>
    <n v="3782"/>
    <x v="15"/>
  </r>
  <r>
    <n v="27"/>
    <x v="6"/>
    <x v="0"/>
    <x v="1"/>
    <x v="1"/>
    <n v="15"/>
    <n v="2823"/>
    <x v="16"/>
  </r>
  <r>
    <n v="28"/>
    <x v="7"/>
    <x v="3"/>
    <x v="2"/>
    <x v="1"/>
    <n v="12"/>
    <n v="4729"/>
    <x v="17"/>
  </r>
  <r>
    <n v="29"/>
    <x v="8"/>
    <x v="2"/>
    <x v="3"/>
    <x v="1"/>
    <n v="12"/>
    <n v="4007"/>
    <x v="18"/>
  </r>
  <r>
    <n v="30"/>
    <x v="9"/>
    <x v="5"/>
    <x v="4"/>
    <x v="1"/>
    <n v="10"/>
    <n v="3459"/>
    <x v="19"/>
  </r>
  <r>
    <n v="31"/>
    <x v="0"/>
    <x v="3"/>
    <x v="0"/>
    <x v="2"/>
    <n v="10"/>
    <n v="4057"/>
    <x v="20"/>
  </r>
  <r>
    <n v="32"/>
    <x v="1"/>
    <x v="4"/>
    <x v="1"/>
    <x v="2"/>
    <n v="18"/>
    <n v="3809"/>
    <x v="21"/>
  </r>
  <r>
    <n v="33"/>
    <x v="2"/>
    <x v="0"/>
    <x v="2"/>
    <x v="2"/>
    <n v="16"/>
    <n v="3987"/>
    <x v="22"/>
  </r>
  <r>
    <n v="34"/>
    <x v="3"/>
    <x v="1"/>
    <x v="3"/>
    <x v="2"/>
    <n v="10"/>
    <n v="2346"/>
    <x v="23"/>
  </r>
  <r>
    <n v="35"/>
    <x v="4"/>
    <x v="1"/>
    <x v="4"/>
    <x v="2"/>
    <n v="8"/>
    <n v="4953"/>
    <x v="24"/>
  </r>
  <r>
    <n v="36"/>
    <x v="5"/>
    <x v="3"/>
    <x v="0"/>
    <x v="2"/>
    <n v="18"/>
    <n v="4088"/>
    <x v="25"/>
  </r>
  <r>
    <n v="37"/>
    <x v="6"/>
    <x v="4"/>
    <x v="1"/>
    <x v="2"/>
    <n v="15"/>
    <n v="2531"/>
    <x v="26"/>
  </r>
  <r>
    <n v="38"/>
    <x v="7"/>
    <x v="0"/>
    <x v="2"/>
    <x v="2"/>
    <n v="13"/>
    <n v="4716"/>
    <x v="27"/>
  </r>
  <r>
    <n v="39"/>
    <x v="8"/>
    <x v="1"/>
    <x v="3"/>
    <x v="2"/>
    <n v="11"/>
    <n v="2806"/>
    <x v="28"/>
  </r>
  <r>
    <n v="40"/>
    <x v="9"/>
    <x v="1"/>
    <x v="4"/>
    <x v="2"/>
    <n v="5"/>
    <n v="3350"/>
    <x v="29"/>
  </r>
  <r>
    <n v="41"/>
    <x v="5"/>
    <x v="3"/>
    <x v="0"/>
    <x v="2"/>
    <n v="18"/>
    <n v="4088"/>
    <x v="25"/>
  </r>
  <r>
    <n v="42"/>
    <x v="6"/>
    <x v="4"/>
    <x v="1"/>
    <x v="2"/>
    <n v="15"/>
    <n v="2531"/>
    <x v="26"/>
  </r>
  <r>
    <n v="43"/>
    <x v="7"/>
    <x v="0"/>
    <x v="2"/>
    <x v="2"/>
    <n v="13"/>
    <n v="4716"/>
    <x v="27"/>
  </r>
  <r>
    <n v="44"/>
    <x v="8"/>
    <x v="1"/>
    <x v="3"/>
    <x v="2"/>
    <n v="11"/>
    <n v="2806"/>
    <x v="28"/>
  </r>
  <r>
    <n v="45"/>
    <x v="9"/>
    <x v="1"/>
    <x v="4"/>
    <x v="2"/>
    <n v="5"/>
    <n v="3350"/>
    <x v="29"/>
  </r>
  <r>
    <n v="46"/>
    <x v="0"/>
    <x v="5"/>
    <x v="0"/>
    <x v="3"/>
    <n v="5"/>
    <n v="3270"/>
    <x v="30"/>
  </r>
  <r>
    <n v="47"/>
    <x v="1"/>
    <x v="2"/>
    <x v="1"/>
    <x v="3"/>
    <n v="17"/>
    <n v="4245"/>
    <x v="31"/>
  </r>
  <r>
    <n v="48"/>
    <x v="2"/>
    <x v="5"/>
    <x v="2"/>
    <x v="3"/>
    <n v="5"/>
    <n v="4864"/>
    <x v="32"/>
  </r>
  <r>
    <n v="49"/>
    <x v="3"/>
    <x v="5"/>
    <x v="3"/>
    <x v="3"/>
    <n v="6"/>
    <n v="2381"/>
    <x v="33"/>
  </r>
  <r>
    <n v="50"/>
    <x v="4"/>
    <x v="3"/>
    <x v="4"/>
    <x v="3"/>
    <n v="10"/>
    <n v="3503"/>
    <x v="34"/>
  </r>
  <r>
    <n v="51"/>
    <x v="5"/>
    <x v="5"/>
    <x v="0"/>
    <x v="3"/>
    <n v="5"/>
    <n v="3176"/>
    <x v="35"/>
  </r>
  <r>
    <n v="52"/>
    <x v="6"/>
    <x v="2"/>
    <x v="1"/>
    <x v="3"/>
    <n v="12"/>
    <n v="4192"/>
    <x v="36"/>
  </r>
  <r>
    <n v="53"/>
    <x v="7"/>
    <x v="5"/>
    <x v="2"/>
    <x v="3"/>
    <n v="2"/>
    <n v="4793"/>
    <x v="37"/>
  </r>
  <r>
    <n v="54"/>
    <x v="8"/>
    <x v="5"/>
    <x v="3"/>
    <x v="3"/>
    <n v="5"/>
    <n v="2204"/>
    <x v="38"/>
  </r>
  <r>
    <n v="55"/>
    <x v="9"/>
    <x v="3"/>
    <x v="4"/>
    <x v="3"/>
    <n v="18"/>
    <n v="4183"/>
    <x v="39"/>
  </r>
  <r>
    <n v="56"/>
    <x v="4"/>
    <x v="3"/>
    <x v="4"/>
    <x v="3"/>
    <n v="10"/>
    <n v="3503"/>
    <x v="34"/>
  </r>
  <r>
    <n v="57"/>
    <x v="5"/>
    <x v="5"/>
    <x v="0"/>
    <x v="3"/>
    <n v="5"/>
    <n v="3176"/>
    <x v="35"/>
  </r>
  <r>
    <n v="58"/>
    <x v="6"/>
    <x v="2"/>
    <x v="1"/>
    <x v="3"/>
    <n v="12"/>
    <n v="4192"/>
    <x v="36"/>
  </r>
  <r>
    <n v="59"/>
    <x v="7"/>
    <x v="5"/>
    <x v="2"/>
    <x v="3"/>
    <n v="2"/>
    <n v="4793"/>
    <x v="37"/>
  </r>
  <r>
    <n v="60"/>
    <x v="8"/>
    <x v="5"/>
    <x v="3"/>
    <x v="3"/>
    <n v="5"/>
    <n v="2204"/>
    <x v="38"/>
  </r>
  <r>
    <n v="61"/>
    <x v="9"/>
    <x v="3"/>
    <x v="4"/>
    <x v="3"/>
    <n v="18"/>
    <n v="4183"/>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69B506-58A8-DE40-BD6A-E751BC1D17E7}" name="MYPT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H15" firstHeaderRow="1" firstDataRow="2" firstDataCol="1"/>
  <pivotFields count="8">
    <pivotField showAll="0"/>
    <pivotField axis="axisRow"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items count="41">
        <item x="37"/>
        <item x="38"/>
        <item x="33"/>
        <item x="35"/>
        <item x="30"/>
        <item x="29"/>
        <item x="23"/>
        <item x="32"/>
        <item x="13"/>
        <item x="28"/>
        <item x="3"/>
        <item x="19"/>
        <item x="34"/>
        <item x="0"/>
        <item x="11"/>
        <item x="26"/>
        <item x="24"/>
        <item x="7"/>
        <item x="20"/>
        <item x="9"/>
        <item x="15"/>
        <item x="16"/>
        <item x="14"/>
        <item x="10"/>
        <item x="18"/>
        <item x="36"/>
        <item x="5"/>
        <item x="12"/>
        <item x="2"/>
        <item x="8"/>
        <item x="17"/>
        <item x="27"/>
        <item x="1"/>
        <item x="22"/>
        <item x="4"/>
        <item x="21"/>
        <item x="31"/>
        <item x="25"/>
        <item x="6"/>
        <item x="39"/>
        <item t="default"/>
      </items>
    </pivotField>
  </pivotFields>
  <rowFields count="1">
    <field x="1"/>
  </rowFields>
  <rowItems count="11">
    <i>
      <x/>
    </i>
    <i>
      <x v="1"/>
    </i>
    <i>
      <x v="2"/>
    </i>
    <i>
      <x v="3"/>
    </i>
    <i>
      <x v="4"/>
    </i>
    <i>
      <x v="5"/>
    </i>
    <i>
      <x v="6"/>
    </i>
    <i>
      <x v="7"/>
    </i>
    <i>
      <x v="8"/>
    </i>
    <i>
      <x v="9"/>
    </i>
    <i t="grand">
      <x/>
    </i>
  </rowItems>
  <colFields count="1">
    <field x="2"/>
  </colFields>
  <colItems count="7">
    <i>
      <x/>
    </i>
    <i>
      <x v="1"/>
    </i>
    <i>
      <x v="2"/>
    </i>
    <i>
      <x v="3"/>
    </i>
    <i>
      <x v="4"/>
    </i>
    <i>
      <x v="5"/>
    </i>
    <i t="grand">
      <x/>
    </i>
  </colItems>
  <dataFields count="1">
    <dataField name="Sum of Total" fld="7" baseField="0" baseItem="0"/>
  </dataFields>
  <chartFormats count="16">
    <chartFormat chart="6" format="7" series="1">
      <pivotArea type="data" outline="0" fieldPosition="0">
        <references count="1">
          <reference field="2" count="1" selected="0">
            <x v="0"/>
          </reference>
        </references>
      </pivotArea>
    </chartFormat>
    <chartFormat chart="6" format="8" series="1">
      <pivotArea type="data" outline="0" fieldPosition="0">
        <references count="1">
          <reference field="2" count="1" selected="0">
            <x v="1"/>
          </reference>
        </references>
      </pivotArea>
    </chartFormat>
    <chartFormat chart="6" format="9" series="1">
      <pivotArea type="data" outline="0" fieldPosition="0">
        <references count="1">
          <reference field="2" count="1" selected="0">
            <x v="2"/>
          </reference>
        </references>
      </pivotArea>
    </chartFormat>
    <chartFormat chart="6" format="10" series="1">
      <pivotArea type="data" outline="0" fieldPosition="0">
        <references count="1">
          <reference field="2" count="1" selected="0">
            <x v="3"/>
          </reference>
        </references>
      </pivotArea>
    </chartFormat>
    <chartFormat chart="6" format="11" series="1">
      <pivotArea type="data" outline="0" fieldPosition="0">
        <references count="1">
          <reference field="2" count="1" selected="0">
            <x v="4"/>
          </reference>
        </references>
      </pivotArea>
    </chartFormat>
    <chartFormat chart="6" format="12" series="1">
      <pivotArea type="data" outline="0" fieldPosition="0">
        <references count="1">
          <reference field="2" count="1" selected="0">
            <x v="5"/>
          </reference>
        </references>
      </pivotArea>
    </chartFormat>
    <chartFormat chart="8" format="19" series="1">
      <pivotArea type="data" outline="0" fieldPosition="0">
        <references count="2">
          <reference field="4294967294" count="1" selected="0">
            <x v="0"/>
          </reference>
          <reference field="2" count="1" selected="0">
            <x v="0"/>
          </reference>
        </references>
      </pivotArea>
    </chartFormat>
    <chartFormat chart="8" format="20" series="1">
      <pivotArea type="data" outline="0" fieldPosition="0">
        <references count="2">
          <reference field="4294967294" count="1" selected="0">
            <x v="0"/>
          </reference>
          <reference field="2" count="1" selected="0">
            <x v="1"/>
          </reference>
        </references>
      </pivotArea>
    </chartFormat>
    <chartFormat chart="8" format="21" series="1">
      <pivotArea type="data" outline="0" fieldPosition="0">
        <references count="2">
          <reference field="4294967294" count="1" selected="0">
            <x v="0"/>
          </reference>
          <reference field="2" count="1" selected="0">
            <x v="2"/>
          </reference>
        </references>
      </pivotArea>
    </chartFormat>
    <chartFormat chart="8" format="22" series="1">
      <pivotArea type="data" outline="0" fieldPosition="0">
        <references count="2">
          <reference field="4294967294" count="1" selected="0">
            <x v="0"/>
          </reference>
          <reference field="2" count="1" selected="0">
            <x v="3"/>
          </reference>
        </references>
      </pivotArea>
    </chartFormat>
    <chartFormat chart="8" format="23" series="1">
      <pivotArea type="data" outline="0" fieldPosition="0">
        <references count="2">
          <reference field="4294967294" count="1" selected="0">
            <x v="0"/>
          </reference>
          <reference field="2" count="1" selected="0">
            <x v="4"/>
          </reference>
        </references>
      </pivotArea>
    </chartFormat>
    <chartFormat chart="8" format="24" series="1">
      <pivotArea type="data" outline="0" fieldPosition="0">
        <references count="2">
          <reference field="4294967294" count="1" selected="0">
            <x v="0"/>
          </reference>
          <reference field="2" count="1" selected="0">
            <x v="5"/>
          </reference>
        </references>
      </pivotArea>
    </chartFormat>
    <chartFormat chart="6" format="13" series="1">
      <pivotArea type="data" outline="0" fieldPosition="0">
        <references count="2">
          <reference field="4294967294" count="1" selected="0">
            <x v="0"/>
          </reference>
          <reference field="2" count="1" selected="0">
            <x v="4"/>
          </reference>
        </references>
      </pivotArea>
    </chartFormat>
    <chartFormat chart="6" format="14" series="1">
      <pivotArea type="data" outline="0" fieldPosition="0">
        <references count="2">
          <reference field="4294967294" count="1" selected="0">
            <x v="0"/>
          </reference>
          <reference field="2" count="1" selected="0">
            <x v="5"/>
          </reference>
        </references>
      </pivotArea>
    </chartFormat>
    <chartFormat chart="6" format="15" series="1">
      <pivotArea type="data" outline="0" fieldPosition="0">
        <references count="2">
          <reference field="4294967294" count="1" selected="0">
            <x v="0"/>
          </reference>
          <reference field="2" count="1" selected="0">
            <x v="2"/>
          </reference>
        </references>
      </pivotArea>
    </chartFormat>
    <chartFormat chart="6" format="16"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DF7065-08C5-7F46-A11F-CB9776206E97}" name="MYPT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items count="41">
        <item x="37"/>
        <item x="38"/>
        <item x="33"/>
        <item x="35"/>
        <item x="30"/>
        <item x="29"/>
        <item x="23"/>
        <item x="32"/>
        <item x="13"/>
        <item x="28"/>
        <item x="3"/>
        <item x="19"/>
        <item x="34"/>
        <item x="0"/>
        <item x="11"/>
        <item x="26"/>
        <item x="24"/>
        <item x="7"/>
        <item x="20"/>
        <item x="9"/>
        <item x="15"/>
        <item x="16"/>
        <item x="14"/>
        <item x="10"/>
        <item x="18"/>
        <item x="36"/>
        <item x="5"/>
        <item x="12"/>
        <item x="2"/>
        <item x="8"/>
        <item x="17"/>
        <item x="27"/>
        <item x="1"/>
        <item x="22"/>
        <item x="4"/>
        <item x="21"/>
        <item x="31"/>
        <item x="25"/>
        <item x="6"/>
        <item x="39"/>
        <item t="default"/>
      </items>
    </pivotField>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Total" fld="7" baseField="0" baseItem="0"/>
  </dataFields>
  <chartFormats count="16">
    <chartFormat chart="4" format="5" series="1">
      <pivotArea type="data" outline="0" fieldPosition="0">
        <references count="1">
          <reference field="2" count="1" selected="0">
            <x v="0"/>
          </reference>
        </references>
      </pivotArea>
    </chartFormat>
    <chartFormat chart="4" format="6" series="1">
      <pivotArea type="data" outline="0" fieldPosition="0">
        <references count="1">
          <reference field="2" count="1" selected="0">
            <x v="1"/>
          </reference>
        </references>
      </pivotArea>
    </chartFormat>
    <chartFormat chart="4" format="7" series="1">
      <pivotArea type="data" outline="0" fieldPosition="0">
        <references count="1">
          <reference field="2" count="1" selected="0">
            <x v="2"/>
          </reference>
        </references>
      </pivotArea>
    </chartFormat>
    <chartFormat chart="4" format="8" series="1">
      <pivotArea type="data" outline="0" fieldPosition="0">
        <references count="1">
          <reference field="2" count="1" selected="0">
            <x v="3"/>
          </reference>
        </references>
      </pivotArea>
    </chartFormat>
    <chartFormat chart="4" format="9" series="1">
      <pivotArea type="data" outline="0" fieldPosition="0">
        <references count="1">
          <reference field="2" count="1" selected="0">
            <x v="4"/>
          </reference>
        </references>
      </pivotArea>
    </chartFormat>
    <chartFormat chart="4" format="10" series="1">
      <pivotArea type="data" outline="0" fieldPosition="0">
        <references count="1">
          <reference field="2" count="1" selected="0">
            <x v="5"/>
          </reference>
        </references>
      </pivotArea>
    </chartFormat>
    <chartFormat chart="10" format="29" series="1">
      <pivotArea type="data" outline="0" fieldPosition="0">
        <references count="2">
          <reference field="4294967294" count="1" selected="0">
            <x v="0"/>
          </reference>
          <reference field="2" count="1" selected="0">
            <x v="0"/>
          </reference>
        </references>
      </pivotArea>
    </chartFormat>
    <chartFormat chart="10" format="30" series="1">
      <pivotArea type="data" outline="0" fieldPosition="0">
        <references count="2">
          <reference field="4294967294" count="1" selected="0">
            <x v="0"/>
          </reference>
          <reference field="2" count="1" selected="0">
            <x v="1"/>
          </reference>
        </references>
      </pivotArea>
    </chartFormat>
    <chartFormat chart="10" format="31" series="1">
      <pivotArea type="data" outline="0" fieldPosition="0">
        <references count="2">
          <reference field="4294967294" count="1" selected="0">
            <x v="0"/>
          </reference>
          <reference field="2" count="1" selected="0">
            <x v="2"/>
          </reference>
        </references>
      </pivotArea>
    </chartFormat>
    <chartFormat chart="10" format="32" series="1">
      <pivotArea type="data" outline="0" fieldPosition="0">
        <references count="2">
          <reference field="4294967294" count="1" selected="0">
            <x v="0"/>
          </reference>
          <reference field="2" count="1" selected="0">
            <x v="3"/>
          </reference>
        </references>
      </pivotArea>
    </chartFormat>
    <chartFormat chart="10" format="33" series="1">
      <pivotArea type="data" outline="0" fieldPosition="0">
        <references count="2">
          <reference field="4294967294" count="1" selected="0">
            <x v="0"/>
          </reference>
          <reference field="2" count="1" selected="0">
            <x v="4"/>
          </reference>
        </references>
      </pivotArea>
    </chartFormat>
    <chartFormat chart="10" format="34" series="1">
      <pivotArea type="data" outline="0" fieldPosition="0">
        <references count="2">
          <reference field="4294967294" count="1" selected="0">
            <x v="0"/>
          </reference>
          <reference field="2" count="1" selected="0">
            <x v="5"/>
          </reference>
        </references>
      </pivotArea>
    </chartFormat>
    <chartFormat chart="4" format="11" series="1">
      <pivotArea type="data" outline="0" fieldPosition="0">
        <references count="2">
          <reference field="4294967294" count="1" selected="0">
            <x v="0"/>
          </reference>
          <reference field="2" count="1" selected="0">
            <x v="4"/>
          </reference>
        </references>
      </pivotArea>
    </chartFormat>
    <chartFormat chart="4" format="12" series="1">
      <pivotArea type="data" outline="0" fieldPosition="0">
        <references count="2">
          <reference field="4294967294" count="1" selected="0">
            <x v="0"/>
          </reference>
          <reference field="2" count="1" selected="0">
            <x v="5"/>
          </reference>
        </references>
      </pivotArea>
    </chartFormat>
    <chartFormat chart="4" format="13" series="1">
      <pivotArea type="data" outline="0" fieldPosition="0">
        <references count="2">
          <reference field="4294967294" count="1" selected="0">
            <x v="0"/>
          </reference>
          <reference field="2" count="1" selected="0">
            <x v="2"/>
          </reference>
        </references>
      </pivotArea>
    </chartFormat>
    <chartFormat chart="4" format="14"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F74277-A54D-D345-BC41-3B9962A1BDF5}" name="MYPT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items count="41">
        <item x="37"/>
        <item x="38"/>
        <item x="33"/>
        <item x="35"/>
        <item x="30"/>
        <item x="29"/>
        <item x="23"/>
        <item x="32"/>
        <item x="13"/>
        <item x="28"/>
        <item x="3"/>
        <item x="19"/>
        <item x="34"/>
        <item x="0"/>
        <item x="11"/>
        <item x="26"/>
        <item x="24"/>
        <item x="7"/>
        <item x="20"/>
        <item x="9"/>
        <item x="15"/>
        <item x="16"/>
        <item x="14"/>
        <item x="10"/>
        <item x="18"/>
        <item x="36"/>
        <item x="5"/>
        <item x="12"/>
        <item x="2"/>
        <item x="8"/>
        <item x="17"/>
        <item x="27"/>
        <item x="1"/>
        <item x="22"/>
        <item x="4"/>
        <item x="21"/>
        <item x="31"/>
        <item x="25"/>
        <item x="6"/>
        <item x="39"/>
        <item t="default"/>
      </items>
    </pivotField>
  </pivotFields>
  <rowFields count="1">
    <field x="2"/>
  </rowFields>
  <rowItems count="7">
    <i>
      <x/>
    </i>
    <i>
      <x v="1"/>
    </i>
    <i>
      <x v="2"/>
    </i>
    <i>
      <x v="3"/>
    </i>
    <i>
      <x v="4"/>
    </i>
    <i>
      <x v="5"/>
    </i>
    <i t="grand">
      <x/>
    </i>
  </rowItems>
  <colItems count="1">
    <i/>
  </colItems>
  <dataFields count="1">
    <dataField name="Sum of Total" fld="7" baseField="0" baseItem="0"/>
  </dataFields>
  <chartFormats count="8">
    <chartFormat chart="2" format="4"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2" count="1" selected="0">
            <x v="0"/>
          </reference>
        </references>
      </pivotArea>
    </chartFormat>
    <chartFormat chart="6" format="14">
      <pivotArea type="data" outline="0" fieldPosition="0">
        <references count="2">
          <reference field="4294967294" count="1" selected="0">
            <x v="0"/>
          </reference>
          <reference field="2" count="1" selected="0">
            <x v="1"/>
          </reference>
        </references>
      </pivotArea>
    </chartFormat>
    <chartFormat chart="6" format="15">
      <pivotArea type="data" outline="0" fieldPosition="0">
        <references count="2">
          <reference field="4294967294" count="1" selected="0">
            <x v="0"/>
          </reference>
          <reference field="2" count="1" selected="0">
            <x v="2"/>
          </reference>
        </references>
      </pivotArea>
    </chartFormat>
    <chartFormat chart="6" format="16">
      <pivotArea type="data" outline="0" fieldPosition="0">
        <references count="2">
          <reference field="4294967294" count="1" selected="0">
            <x v="0"/>
          </reference>
          <reference field="2" count="1" selected="0">
            <x v="3"/>
          </reference>
        </references>
      </pivotArea>
    </chartFormat>
    <chartFormat chart="6" format="17">
      <pivotArea type="data" outline="0" fieldPosition="0">
        <references count="2">
          <reference field="4294967294" count="1" selected="0">
            <x v="0"/>
          </reference>
          <reference field="2" count="1" selected="0">
            <x v="4"/>
          </reference>
        </references>
      </pivotArea>
    </chartFormat>
    <chartFormat chart="6" format="1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0426218-8D20-044B-B44C-153794273776}" name="MYPT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items count="41">
        <item x="37"/>
        <item x="38"/>
        <item x="33"/>
        <item x="35"/>
        <item x="30"/>
        <item x="29"/>
        <item x="23"/>
        <item x="32"/>
        <item x="13"/>
        <item x="28"/>
        <item x="3"/>
        <item x="19"/>
        <item x="34"/>
        <item x="0"/>
        <item x="11"/>
        <item x="26"/>
        <item x="24"/>
        <item x="7"/>
        <item x="20"/>
        <item x="9"/>
        <item x="15"/>
        <item x="16"/>
        <item x="14"/>
        <item x="10"/>
        <item x="18"/>
        <item x="36"/>
        <item x="5"/>
        <item x="12"/>
        <item x="2"/>
        <item x="8"/>
        <item x="17"/>
        <item x="27"/>
        <item x="1"/>
        <item x="22"/>
        <item x="4"/>
        <item x="21"/>
        <item x="31"/>
        <item x="25"/>
        <item x="6"/>
        <item x="39"/>
        <item t="default"/>
      </items>
    </pivotField>
  </pivotFields>
  <rowFields count="1">
    <field x="4"/>
  </rowFields>
  <rowItems count="5">
    <i>
      <x/>
    </i>
    <i>
      <x v="1"/>
    </i>
    <i>
      <x v="2"/>
    </i>
    <i>
      <x v="3"/>
    </i>
    <i t="grand">
      <x/>
    </i>
  </rowItems>
  <colItems count="1">
    <i/>
  </colItems>
  <dataFields count="1">
    <dataField name="Sum of Total" fld="7" baseField="0" baseItem="0"/>
  </dataFields>
  <chartFormats count="7">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6" format="16" series="1">
      <pivotArea type="data" outline="0" fieldPosition="0">
        <references count="1">
          <reference field="4294967294" count="1" selected="0">
            <x v="0"/>
          </reference>
        </references>
      </pivotArea>
    </chartFormat>
    <chartFormat chart="6" format="17">
      <pivotArea type="data" outline="0" fieldPosition="0">
        <references count="2">
          <reference field="4294967294" count="1" selected="0">
            <x v="0"/>
          </reference>
          <reference field="4" count="1" selected="0">
            <x v="0"/>
          </reference>
        </references>
      </pivotArea>
    </chartFormat>
    <chartFormat chart="6" format="18">
      <pivotArea type="data" outline="0" fieldPosition="0">
        <references count="2">
          <reference field="4294967294" count="1" selected="0">
            <x v="0"/>
          </reference>
          <reference field="4" count="1" selected="0">
            <x v="1"/>
          </reference>
        </references>
      </pivotArea>
    </chartFormat>
    <chartFormat chart="6" format="19">
      <pivotArea type="data" outline="0" fieldPosition="0">
        <references count="2">
          <reference field="4294967294" count="1" selected="0">
            <x v="0"/>
          </reference>
          <reference field="4" count="1" selected="0">
            <x v="2"/>
          </reference>
        </references>
      </pivotArea>
    </chartFormat>
    <chartFormat chart="6" format="20">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D2668516-DBDE-2B44-AC83-04CBC5534B94}" sourceName="Date">
  <pivotTables>
    <pivotTable tabId="29" name="MYPT1"/>
    <pivotTable tabId="30" name="MYPT1"/>
    <pivotTable tabId="31" name="MYPT1"/>
    <pivotTable tabId="32" name="MYPT1"/>
  </pivotTables>
  <data>
    <tabular pivotCacheId="806301005">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732CC79-4207-294A-B671-FB6F346DAABC}" sourceName="Product">
  <pivotTables>
    <pivotTable tabId="29" name="MYPT1"/>
    <pivotTable tabId="30" name="MYPT1"/>
    <pivotTable tabId="31" name="MYPT1"/>
    <pivotTable tabId="32" name="MYPT1"/>
  </pivotTables>
  <data>
    <tabular pivotCacheId="806301005">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ABF7DE22-9FA2-F743-B65B-31D1B040F358}" sourceName="Name">
  <pivotTables>
    <pivotTable tabId="29" name="MYPT1"/>
    <pivotTable tabId="30" name="MYPT1"/>
    <pivotTable tabId="31" name="MYPT1"/>
    <pivotTable tabId="32" name="MYPT1"/>
  </pivotTables>
  <data>
    <tabular pivotCacheId="806301005">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2CF5EC1D-8B6B-7941-B95C-2D022364EFFD}" sourceName="Area">
  <pivotTables>
    <pivotTable tabId="29" name="MYPT1"/>
    <pivotTable tabId="30" name="MYPT1"/>
    <pivotTable tabId="31" name="MYPT1"/>
    <pivotTable tabId="32" name="MYPT1"/>
  </pivotTables>
  <data>
    <tabular pivotCacheId="806301005">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08222441-3535-6E4A-9DE9-858407CCB1E0}" cache="Slicer_Date" caption="Date" columnCount="2" style="SlicerStyleDark6" rowHeight="230716"/>
  <slicer name="Product" xr10:uid="{C3E2DB28-EF62-4A4E-9923-E1CBFF067412}" cache="Slicer_Product" caption="Product" columnCount="2" style="SlicerStyleDark5" rowHeight="230716"/>
  <slicer name="Name" xr10:uid="{45A1424D-0291-EF48-81C5-B03F1A23AC7C}" cache="Slicer_Name" caption="Name" columnCount="2" style="SlicerStyleDark4" rowHeight="230716"/>
  <slicer name="Area" xr10:uid="{C44EDA35-62C8-E043-9935-8372AC3ABE1F}" cache="Slicer_Area" caption="Area" columnCount="4" style="SlicerStyleDark2"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D68B72-7FFB-EE46-8CEC-2AE938E575BB}" name="MyData" displayName="MyData" ref="A2:H63" totalsRowShown="0">
  <autoFilter ref="A2:H63" xr:uid="{5A67801D-78F8-1849-A565-2E5AC17BC5C7}"/>
  <tableColumns count="8">
    <tableColumn id="1" xr3:uid="{575D8FB9-9308-0A4B-B57D-2987E7D50C5E}" name="Sr. No."/>
    <tableColumn id="2" xr3:uid="{6BF377DF-8731-A145-ABA7-03350EA2389D}" name="Date" dataDxfId="0"/>
    <tableColumn id="3" xr3:uid="{06C7131A-B121-1240-A112-BD43AA7B4617}" name="Product"/>
    <tableColumn id="4" xr3:uid="{440A56A2-629B-264F-B9D7-CA05AB7C8BDF}" name="Name"/>
    <tableColumn id="5" xr3:uid="{A02F6746-F9BB-D240-9611-2FB5DD2977D2}" name="Area"/>
    <tableColumn id="6" xr3:uid="{2AC1B2C0-ED6E-6641-A790-FF4F87C57E0A}" name="Qty"/>
    <tableColumn id="7" xr3:uid="{5932690E-56BC-1D48-B039-391768F4FDF4}" name="Cost"/>
    <tableColumn id="8" xr3:uid="{8F84EFA8-5A34-3E47-9FE6-8258AAE37C37}" name="Total">
      <calculatedColumnFormula>F3*G3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workbookViewId="0">
      <selection activeCell="W15" sqref="W15"/>
    </sheetView>
  </sheetViews>
  <sheetFormatPr baseColWidth="10" defaultColWidth="8.83203125" defaultRowHeight="15"/>
  <cols>
    <col min="1" max="15" width="8.83203125" customWidth="1"/>
    <col min="20" max="21" width="8.8320312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69800-6EE1-AA45-BEEC-AEF3FF4C1BA8}">
  <dimension ref="A3:H15"/>
  <sheetViews>
    <sheetView workbookViewId="0">
      <selection activeCell="E41" sqref="E41"/>
    </sheetView>
  </sheetViews>
  <sheetFormatPr baseColWidth="10" defaultRowHeight="15"/>
  <cols>
    <col min="1" max="1" width="12.1640625" bestFit="1" customWidth="1"/>
    <col min="2" max="2" width="14.83203125" bestFit="1" customWidth="1"/>
    <col min="3" max="3" width="8.33203125" bestFit="1" customWidth="1"/>
    <col min="4" max="7" width="7.1640625" bestFit="1" customWidth="1"/>
    <col min="8" max="8" width="10" bestFit="1" customWidth="1"/>
  </cols>
  <sheetData>
    <row r="3" spans="1:8">
      <c r="A3" s="12" t="s">
        <v>42</v>
      </c>
      <c r="B3" s="12" t="s">
        <v>43</v>
      </c>
    </row>
    <row r="4" spans="1:8">
      <c r="A4" s="12" t="s">
        <v>40</v>
      </c>
      <c r="B4" t="s">
        <v>12</v>
      </c>
      <c r="C4" t="s">
        <v>14</v>
      </c>
      <c r="D4" t="s">
        <v>13</v>
      </c>
      <c r="E4" t="s">
        <v>10</v>
      </c>
      <c r="F4" t="s">
        <v>11</v>
      </c>
      <c r="G4" t="s">
        <v>8</v>
      </c>
      <c r="H4" t="s">
        <v>41</v>
      </c>
    </row>
    <row r="5" spans="1:8">
      <c r="A5" s="14">
        <v>40179</v>
      </c>
      <c r="B5" s="11"/>
      <c r="C5" s="11"/>
      <c r="D5" s="11">
        <v>16350</v>
      </c>
      <c r="E5" s="11">
        <v>35120</v>
      </c>
      <c r="F5" s="11">
        <v>40570</v>
      </c>
      <c r="G5" s="11">
        <v>45696</v>
      </c>
      <c r="H5" s="11">
        <v>137736</v>
      </c>
    </row>
    <row r="6" spans="1:8">
      <c r="A6" s="14">
        <v>40180</v>
      </c>
      <c r="B6" s="11">
        <v>72165</v>
      </c>
      <c r="C6" s="11">
        <v>68562</v>
      </c>
      <c r="D6" s="11"/>
      <c r="E6" s="11">
        <v>35386</v>
      </c>
      <c r="F6" s="11"/>
      <c r="G6" s="11">
        <v>63536</v>
      </c>
      <c r="H6" s="11">
        <v>239649</v>
      </c>
    </row>
    <row r="7" spans="1:8">
      <c r="A7" s="14">
        <v>40181</v>
      </c>
      <c r="B7" s="11">
        <v>53449</v>
      </c>
      <c r="C7" s="11"/>
      <c r="D7" s="11">
        <v>24320</v>
      </c>
      <c r="E7" s="11">
        <v>63792</v>
      </c>
      <c r="F7" s="11">
        <v>52200</v>
      </c>
      <c r="G7" s="11"/>
      <c r="H7" s="11">
        <v>193761</v>
      </c>
    </row>
    <row r="8" spans="1:8">
      <c r="A8" s="14">
        <v>40182</v>
      </c>
      <c r="B8" s="11">
        <v>29068</v>
      </c>
      <c r="C8" s="11"/>
      <c r="D8" s="11">
        <v>14286</v>
      </c>
      <c r="E8" s="11"/>
      <c r="F8" s="11">
        <v>32880</v>
      </c>
      <c r="G8" s="11">
        <v>23460</v>
      </c>
      <c r="H8" s="11">
        <v>99694</v>
      </c>
    </row>
    <row r="9" spans="1:8">
      <c r="A9" s="14">
        <v>40183</v>
      </c>
      <c r="B9" s="11"/>
      <c r="C9" s="11">
        <v>66164</v>
      </c>
      <c r="D9" s="11">
        <v>45690</v>
      </c>
      <c r="E9" s="11"/>
      <c r="F9" s="11">
        <v>70060</v>
      </c>
      <c r="G9" s="11">
        <v>39624</v>
      </c>
      <c r="H9" s="11">
        <v>221538</v>
      </c>
    </row>
    <row r="10" spans="1:8">
      <c r="A10" s="14">
        <v>40184</v>
      </c>
      <c r="B10" s="11"/>
      <c r="C10" s="11"/>
      <c r="D10" s="11">
        <v>31760</v>
      </c>
      <c r="E10" s="11">
        <v>102080</v>
      </c>
      <c r="F10" s="11">
        <v>147168</v>
      </c>
      <c r="G10" s="11">
        <v>83204</v>
      </c>
      <c r="H10" s="11">
        <v>364212</v>
      </c>
    </row>
    <row r="11" spans="1:8">
      <c r="A11" s="14">
        <v>40185</v>
      </c>
      <c r="B11" s="11">
        <v>100608</v>
      </c>
      <c r="C11" s="11">
        <v>75930</v>
      </c>
      <c r="D11" s="11"/>
      <c r="E11" s="11">
        <v>84690</v>
      </c>
      <c r="F11" s="11"/>
      <c r="G11" s="11">
        <v>147520</v>
      </c>
      <c r="H11" s="11">
        <v>408748</v>
      </c>
    </row>
    <row r="12" spans="1:8">
      <c r="A12" s="14">
        <v>40186</v>
      </c>
      <c r="B12" s="11">
        <v>79956</v>
      </c>
      <c r="C12" s="11"/>
      <c r="D12" s="11">
        <v>19172</v>
      </c>
      <c r="E12" s="11">
        <v>122616</v>
      </c>
      <c r="F12" s="11">
        <v>113496</v>
      </c>
      <c r="G12" s="11"/>
      <c r="H12" s="11">
        <v>335240</v>
      </c>
    </row>
    <row r="13" spans="1:8">
      <c r="A13" s="14">
        <v>40187</v>
      </c>
      <c r="B13" s="11">
        <v>96168</v>
      </c>
      <c r="C13" s="11"/>
      <c r="D13" s="11">
        <v>22040</v>
      </c>
      <c r="E13" s="11"/>
      <c r="F13" s="11">
        <v>110572</v>
      </c>
      <c r="G13" s="11">
        <v>61732</v>
      </c>
      <c r="H13" s="11">
        <v>290512</v>
      </c>
    </row>
    <row r="14" spans="1:8">
      <c r="A14" s="14">
        <v>40188</v>
      </c>
      <c r="B14" s="11"/>
      <c r="C14" s="11">
        <v>82404</v>
      </c>
      <c r="D14" s="11">
        <v>69180</v>
      </c>
      <c r="E14" s="11"/>
      <c r="F14" s="11">
        <v>150588</v>
      </c>
      <c r="G14" s="11">
        <v>33500</v>
      </c>
      <c r="H14" s="11">
        <v>335672</v>
      </c>
    </row>
    <row r="15" spans="1:8">
      <c r="A15" s="14" t="s">
        <v>41</v>
      </c>
      <c r="B15" s="11">
        <v>431414</v>
      </c>
      <c r="C15" s="11">
        <v>293060</v>
      </c>
      <c r="D15" s="11">
        <v>242798</v>
      </c>
      <c r="E15" s="11">
        <v>443684</v>
      </c>
      <c r="F15" s="11">
        <v>717534</v>
      </c>
      <c r="G15" s="11">
        <v>498272</v>
      </c>
      <c r="H15" s="11">
        <v>2626762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73C00-838B-DA44-827D-D03BED1E7886}">
  <dimension ref="A3:H9"/>
  <sheetViews>
    <sheetView workbookViewId="0">
      <selection activeCell="H35" sqref="H35"/>
    </sheetView>
  </sheetViews>
  <sheetFormatPr baseColWidth="10" defaultRowHeight="15"/>
  <cols>
    <col min="1" max="1" width="12.1640625" bestFit="1" customWidth="1"/>
    <col min="2" max="2" width="14.83203125" bestFit="1" customWidth="1"/>
    <col min="3" max="3" width="8.33203125" bestFit="1" customWidth="1"/>
    <col min="4" max="7" width="7.1640625" bestFit="1" customWidth="1"/>
    <col min="8" max="8" width="10" bestFit="1" customWidth="1"/>
  </cols>
  <sheetData>
    <row r="3" spans="1:8">
      <c r="A3" s="12" t="s">
        <v>42</v>
      </c>
      <c r="B3" s="12" t="s">
        <v>43</v>
      </c>
    </row>
    <row r="4" spans="1:8">
      <c r="A4" s="12" t="s">
        <v>40</v>
      </c>
      <c r="B4" t="s">
        <v>12</v>
      </c>
      <c r="C4" t="s">
        <v>14</v>
      </c>
      <c r="D4" t="s">
        <v>13</v>
      </c>
      <c r="E4" t="s">
        <v>10</v>
      </c>
      <c r="F4" t="s">
        <v>11</v>
      </c>
      <c r="G4" t="s">
        <v>8</v>
      </c>
      <c r="H4" t="s">
        <v>41</v>
      </c>
    </row>
    <row r="5" spans="1:8">
      <c r="A5" s="13" t="s">
        <v>9</v>
      </c>
      <c r="B5" s="11">
        <v>133405</v>
      </c>
      <c r="C5" s="11">
        <v>148568</v>
      </c>
      <c r="D5" s="11"/>
      <c r="E5" s="11">
        <v>137200</v>
      </c>
      <c r="F5" s="11">
        <v>143452</v>
      </c>
      <c r="G5" s="11">
        <v>211056</v>
      </c>
      <c r="H5" s="11">
        <v>773681</v>
      </c>
    </row>
    <row r="6" spans="1:8">
      <c r="A6" s="13" t="s">
        <v>22</v>
      </c>
      <c r="B6" s="11">
        <v>172773</v>
      </c>
      <c r="C6" s="11"/>
      <c r="D6" s="11">
        <v>127928</v>
      </c>
      <c r="E6" s="11"/>
      <c r="F6" s="11">
        <v>220648</v>
      </c>
      <c r="G6" s="11"/>
      <c r="H6" s="11">
        <v>521349</v>
      </c>
    </row>
    <row r="7" spans="1:8">
      <c r="A7" s="13" t="s">
        <v>21</v>
      </c>
      <c r="B7" s="11"/>
      <c r="C7" s="11">
        <v>144492</v>
      </c>
      <c r="D7" s="11"/>
      <c r="E7" s="11">
        <v>186408</v>
      </c>
      <c r="F7" s="11">
        <v>187738</v>
      </c>
      <c r="G7" s="11">
        <v>158316</v>
      </c>
      <c r="H7" s="11">
        <v>676954</v>
      </c>
    </row>
    <row r="8" spans="1:8">
      <c r="A8" s="13" t="s">
        <v>20</v>
      </c>
      <c r="B8" s="11">
        <v>125236</v>
      </c>
      <c r="C8" s="11"/>
      <c r="D8" s="11">
        <v>114870</v>
      </c>
      <c r="E8" s="11">
        <v>120076</v>
      </c>
      <c r="F8" s="11">
        <v>165696</v>
      </c>
      <c r="G8" s="11">
        <v>128900</v>
      </c>
      <c r="H8" s="11">
        <v>654778</v>
      </c>
    </row>
    <row r="9" spans="1:8">
      <c r="A9" s="13" t="s">
        <v>41</v>
      </c>
      <c r="B9" s="11">
        <v>431414</v>
      </c>
      <c r="C9" s="11">
        <v>293060</v>
      </c>
      <c r="D9" s="11">
        <v>242798</v>
      </c>
      <c r="E9" s="11">
        <v>443684</v>
      </c>
      <c r="F9" s="11">
        <v>717534</v>
      </c>
      <c r="G9" s="11">
        <v>498272</v>
      </c>
      <c r="H9" s="11">
        <v>2626762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AB23C-3D10-DE44-BF00-1FB5C9E75414}">
  <dimension ref="A3:B10"/>
  <sheetViews>
    <sheetView workbookViewId="0">
      <selection activeCell="G37" sqref="G37"/>
    </sheetView>
  </sheetViews>
  <sheetFormatPr baseColWidth="10" defaultRowHeight="15"/>
  <cols>
    <col min="1" max="1" width="12.1640625" bestFit="1" customWidth="1"/>
    <col min="2" max="2" width="10.5" bestFit="1" customWidth="1"/>
  </cols>
  <sheetData>
    <row r="3" spans="1:2">
      <c r="A3" s="12" t="s">
        <v>40</v>
      </c>
      <c r="B3" t="s">
        <v>42</v>
      </c>
    </row>
    <row r="4" spans="1:2">
      <c r="A4" s="13" t="s">
        <v>12</v>
      </c>
      <c r="B4" s="11">
        <v>431414</v>
      </c>
    </row>
    <row r="5" spans="1:2">
      <c r="A5" s="13" t="s">
        <v>14</v>
      </c>
      <c r="B5" s="11">
        <v>293060</v>
      </c>
    </row>
    <row r="6" spans="1:2">
      <c r="A6" s="13" t="s">
        <v>13</v>
      </c>
      <c r="B6" s="11">
        <v>242798</v>
      </c>
    </row>
    <row r="7" spans="1:2">
      <c r="A7" s="13" t="s">
        <v>10</v>
      </c>
      <c r="B7" s="11">
        <v>443684</v>
      </c>
    </row>
    <row r="8" spans="1:2">
      <c r="A8" s="13" t="s">
        <v>11</v>
      </c>
      <c r="B8" s="11">
        <v>717534</v>
      </c>
    </row>
    <row r="9" spans="1:2">
      <c r="A9" s="13" t="s">
        <v>8</v>
      </c>
      <c r="B9" s="11">
        <v>498272</v>
      </c>
    </row>
    <row r="10" spans="1:2">
      <c r="A10" s="13" t="s">
        <v>41</v>
      </c>
      <c r="B10" s="11">
        <v>2626762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13EA3-AFEF-8940-B709-4DA251DD464A}">
  <dimension ref="A3:B8"/>
  <sheetViews>
    <sheetView workbookViewId="0">
      <selection activeCell="N7" sqref="N7"/>
    </sheetView>
  </sheetViews>
  <sheetFormatPr baseColWidth="10" defaultRowHeight="15"/>
  <cols>
    <col min="1" max="1" width="12.1640625" bestFit="1" customWidth="1"/>
    <col min="2" max="2" width="10.5" bestFit="1" customWidth="1"/>
  </cols>
  <sheetData>
    <row r="3" spans="1:2">
      <c r="A3" s="12" t="s">
        <v>40</v>
      </c>
      <c r="B3" t="s">
        <v>42</v>
      </c>
    </row>
    <row r="4" spans="1:2">
      <c r="A4" s="13" t="s">
        <v>9</v>
      </c>
      <c r="B4" s="11">
        <v>773681</v>
      </c>
    </row>
    <row r="5" spans="1:2">
      <c r="A5" s="13" t="s">
        <v>22</v>
      </c>
      <c r="B5" s="11">
        <v>521349</v>
      </c>
    </row>
    <row r="6" spans="1:2">
      <c r="A6" s="13" t="s">
        <v>21</v>
      </c>
      <c r="B6" s="11">
        <v>676954</v>
      </c>
    </row>
    <row r="7" spans="1:2">
      <c r="A7" s="13" t="s">
        <v>20</v>
      </c>
      <c r="B7" s="11">
        <v>654778</v>
      </c>
    </row>
    <row r="8" spans="1:2">
      <c r="A8" s="13" t="s">
        <v>41</v>
      </c>
      <c r="B8" s="11">
        <v>2626762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63"/>
  <sheetViews>
    <sheetView tabSelected="1" workbookViewId="0">
      <selection activeCell="A2" sqref="A2"/>
    </sheetView>
  </sheetViews>
  <sheetFormatPr baseColWidth="10" defaultColWidth="8.83203125" defaultRowHeight="15"/>
  <cols>
    <col min="2" max="2" width="11.33203125" bestFit="1" customWidth="1"/>
    <col min="3" max="3" width="10" customWidth="1"/>
  </cols>
  <sheetData>
    <row r="1" spans="1:21" ht="19">
      <c r="L1" t="s">
        <v>44</v>
      </c>
      <c r="P1" t="s">
        <v>45</v>
      </c>
      <c r="U1" t="s">
        <v>46</v>
      </c>
    </row>
    <row r="2" spans="1:21">
      <c r="A2" t="s">
        <v>7</v>
      </c>
      <c r="B2" t="s">
        <v>0</v>
      </c>
      <c r="C2" t="s">
        <v>1</v>
      </c>
      <c r="D2" t="s">
        <v>2</v>
      </c>
      <c r="E2" t="s">
        <v>3</v>
      </c>
      <c r="F2" t="s">
        <v>4</v>
      </c>
      <c r="G2" t="s">
        <v>5</v>
      </c>
      <c r="H2" t="s">
        <v>6</v>
      </c>
    </row>
    <row r="3" spans="1:21">
      <c r="A3">
        <v>1</v>
      </c>
      <c r="B3" s="3">
        <v>40179</v>
      </c>
      <c r="C3" t="s">
        <v>10</v>
      </c>
      <c r="D3" t="s">
        <v>15</v>
      </c>
      <c r="E3" t="s">
        <v>9</v>
      </c>
      <c r="F3">
        <v>16</v>
      </c>
      <c r="G3">
        <v>2195</v>
      </c>
      <c r="H3">
        <f>F3*G3</f>
        <v>35120</v>
      </c>
    </row>
    <row r="4" spans="1:21">
      <c r="A4">
        <v>2</v>
      </c>
      <c r="B4" s="3">
        <v>40180</v>
      </c>
      <c r="C4" t="s">
        <v>8</v>
      </c>
      <c r="D4" t="s">
        <v>16</v>
      </c>
      <c r="E4" t="s">
        <v>9</v>
      </c>
      <c r="F4">
        <v>16</v>
      </c>
      <c r="G4">
        <v>3971</v>
      </c>
      <c r="H4">
        <f t="shared" ref="H4:H17" si="0">F4*G4</f>
        <v>63536</v>
      </c>
    </row>
    <row r="5" spans="1:21">
      <c r="A5">
        <v>3</v>
      </c>
      <c r="B5" s="3">
        <v>40181</v>
      </c>
      <c r="C5" t="s">
        <v>12</v>
      </c>
      <c r="D5" t="s">
        <v>17</v>
      </c>
      <c r="E5" t="s">
        <v>9</v>
      </c>
      <c r="F5">
        <v>11</v>
      </c>
      <c r="G5">
        <v>4859</v>
      </c>
      <c r="H5">
        <f t="shared" si="0"/>
        <v>53449</v>
      </c>
    </row>
    <row r="6" spans="1:21">
      <c r="A6">
        <v>4</v>
      </c>
      <c r="B6" s="3">
        <v>40182</v>
      </c>
      <c r="C6" t="s">
        <v>11</v>
      </c>
      <c r="D6" t="s">
        <v>18</v>
      </c>
      <c r="E6" t="s">
        <v>9</v>
      </c>
      <c r="F6">
        <v>16</v>
      </c>
      <c r="G6">
        <v>2055</v>
      </c>
      <c r="H6">
        <f t="shared" si="0"/>
        <v>32880</v>
      </c>
    </row>
    <row r="7" spans="1:21">
      <c r="A7">
        <v>5</v>
      </c>
      <c r="B7" s="3">
        <v>40183</v>
      </c>
      <c r="C7" t="s">
        <v>14</v>
      </c>
      <c r="D7" t="s">
        <v>19</v>
      </c>
      <c r="E7" t="s">
        <v>9</v>
      </c>
      <c r="F7">
        <v>17</v>
      </c>
      <c r="G7">
        <v>3892</v>
      </c>
      <c r="H7">
        <f t="shared" si="0"/>
        <v>66164</v>
      </c>
    </row>
    <row r="8" spans="1:21">
      <c r="A8">
        <v>6</v>
      </c>
      <c r="B8" s="3">
        <v>40184</v>
      </c>
      <c r="C8" t="s">
        <v>10</v>
      </c>
      <c r="D8" t="s">
        <v>15</v>
      </c>
      <c r="E8" t="s">
        <v>9</v>
      </c>
      <c r="F8">
        <v>11</v>
      </c>
      <c r="G8">
        <v>4640</v>
      </c>
      <c r="H8">
        <f t="shared" si="0"/>
        <v>51040</v>
      </c>
    </row>
    <row r="9" spans="1:21">
      <c r="A9">
        <v>7</v>
      </c>
      <c r="B9" s="3">
        <v>40185</v>
      </c>
      <c r="C9" t="s">
        <v>8</v>
      </c>
      <c r="D9" t="s">
        <v>16</v>
      </c>
      <c r="E9" t="s">
        <v>9</v>
      </c>
      <c r="F9">
        <v>16</v>
      </c>
      <c r="G9">
        <v>4610</v>
      </c>
      <c r="H9">
        <f t="shared" si="0"/>
        <v>73760</v>
      </c>
    </row>
    <row r="10" spans="1:21">
      <c r="A10">
        <v>8</v>
      </c>
      <c r="B10" s="3">
        <v>40186</v>
      </c>
      <c r="C10" t="s">
        <v>12</v>
      </c>
      <c r="D10" t="s">
        <v>17</v>
      </c>
      <c r="E10" t="s">
        <v>9</v>
      </c>
      <c r="F10">
        <v>18</v>
      </c>
      <c r="G10">
        <v>2221</v>
      </c>
      <c r="H10">
        <f t="shared" si="0"/>
        <v>39978</v>
      </c>
    </row>
    <row r="11" spans="1:21">
      <c r="A11">
        <v>9</v>
      </c>
      <c r="B11" s="3">
        <v>40187</v>
      </c>
      <c r="C11" t="s">
        <v>11</v>
      </c>
      <c r="D11" t="s">
        <v>18</v>
      </c>
      <c r="E11" t="s">
        <v>9</v>
      </c>
      <c r="F11">
        <v>14</v>
      </c>
      <c r="G11">
        <v>3949</v>
      </c>
      <c r="H11">
        <f t="shared" si="0"/>
        <v>55286</v>
      </c>
    </row>
    <row r="12" spans="1:21">
      <c r="A12">
        <v>10</v>
      </c>
      <c r="B12" s="3">
        <v>40188</v>
      </c>
      <c r="C12" t="s">
        <v>14</v>
      </c>
      <c r="D12" t="s">
        <v>19</v>
      </c>
      <c r="E12" t="s">
        <v>9</v>
      </c>
      <c r="F12">
        <v>14</v>
      </c>
      <c r="G12">
        <v>2943</v>
      </c>
      <c r="H12">
        <f t="shared" si="0"/>
        <v>41202</v>
      </c>
    </row>
    <row r="13" spans="1:21">
      <c r="A13">
        <v>11</v>
      </c>
      <c r="B13" s="3">
        <v>40184</v>
      </c>
      <c r="C13" t="s">
        <v>10</v>
      </c>
      <c r="D13" t="s">
        <v>15</v>
      </c>
      <c r="E13" t="s">
        <v>9</v>
      </c>
      <c r="F13">
        <v>11</v>
      </c>
      <c r="G13">
        <v>4640</v>
      </c>
      <c r="H13">
        <f t="shared" si="0"/>
        <v>51040</v>
      </c>
    </row>
    <row r="14" spans="1:21">
      <c r="A14">
        <v>12</v>
      </c>
      <c r="B14" s="3">
        <v>40185</v>
      </c>
      <c r="C14" t="s">
        <v>8</v>
      </c>
      <c r="D14" t="s">
        <v>16</v>
      </c>
      <c r="E14" t="s">
        <v>9</v>
      </c>
      <c r="F14">
        <v>16</v>
      </c>
      <c r="G14">
        <v>4610</v>
      </c>
      <c r="H14">
        <f t="shared" si="0"/>
        <v>73760</v>
      </c>
    </row>
    <row r="15" spans="1:21">
      <c r="A15">
        <v>13</v>
      </c>
      <c r="B15" s="3">
        <v>40186</v>
      </c>
      <c r="C15" t="s">
        <v>12</v>
      </c>
      <c r="D15" t="s">
        <v>17</v>
      </c>
      <c r="E15" t="s">
        <v>9</v>
      </c>
      <c r="F15">
        <v>18</v>
      </c>
      <c r="G15">
        <v>2221</v>
      </c>
      <c r="H15">
        <f t="shared" si="0"/>
        <v>39978</v>
      </c>
    </row>
    <row r="16" spans="1:21">
      <c r="A16">
        <v>14</v>
      </c>
      <c r="B16" s="3">
        <v>40187</v>
      </c>
      <c r="C16" t="s">
        <v>11</v>
      </c>
      <c r="D16" t="s">
        <v>18</v>
      </c>
      <c r="E16" t="s">
        <v>9</v>
      </c>
      <c r="F16">
        <v>14</v>
      </c>
      <c r="G16">
        <v>3949</v>
      </c>
      <c r="H16">
        <f t="shared" si="0"/>
        <v>55286</v>
      </c>
    </row>
    <row r="17" spans="1:8">
      <c r="A17">
        <v>15</v>
      </c>
      <c r="B17" s="3">
        <v>40188</v>
      </c>
      <c r="C17" t="s">
        <v>14</v>
      </c>
      <c r="D17" t="s">
        <v>19</v>
      </c>
      <c r="E17" t="s">
        <v>9</v>
      </c>
      <c r="F17">
        <v>14</v>
      </c>
      <c r="G17">
        <v>2943</v>
      </c>
      <c r="H17">
        <f t="shared" si="0"/>
        <v>41202</v>
      </c>
    </row>
    <row r="18" spans="1:8">
      <c r="A18">
        <v>16</v>
      </c>
      <c r="B18" s="3">
        <v>40179</v>
      </c>
      <c r="C18" t="s">
        <v>8</v>
      </c>
      <c r="D18" t="s">
        <v>15</v>
      </c>
      <c r="E18" t="s">
        <v>20</v>
      </c>
      <c r="F18">
        <v>16</v>
      </c>
      <c r="G18">
        <v>2856</v>
      </c>
      <c r="H18">
        <f>F18*G18</f>
        <v>45696</v>
      </c>
    </row>
    <row r="19" spans="1:8">
      <c r="A19">
        <v>17</v>
      </c>
      <c r="B19" s="3">
        <v>40180</v>
      </c>
      <c r="C19" t="s">
        <v>10</v>
      </c>
      <c r="D19" t="s">
        <v>16</v>
      </c>
      <c r="E19" t="s">
        <v>20</v>
      </c>
      <c r="F19">
        <v>13</v>
      </c>
      <c r="G19">
        <v>2722</v>
      </c>
      <c r="H19">
        <f t="shared" ref="H19:H32" si="1">F19*G19</f>
        <v>35386</v>
      </c>
    </row>
    <row r="20" spans="1:8">
      <c r="A20">
        <v>18</v>
      </c>
      <c r="B20" s="3">
        <v>40181</v>
      </c>
      <c r="C20" t="s">
        <v>11</v>
      </c>
      <c r="D20" t="s">
        <v>17</v>
      </c>
      <c r="E20" t="s">
        <v>20</v>
      </c>
      <c r="F20">
        <v>18</v>
      </c>
      <c r="G20">
        <v>2900</v>
      </c>
      <c r="H20">
        <f t="shared" si="1"/>
        <v>52200</v>
      </c>
    </row>
    <row r="21" spans="1:8">
      <c r="A21">
        <v>19</v>
      </c>
      <c r="B21" s="3">
        <v>40182</v>
      </c>
      <c r="C21" t="s">
        <v>12</v>
      </c>
      <c r="D21" t="s">
        <v>18</v>
      </c>
      <c r="E21" t="s">
        <v>20</v>
      </c>
      <c r="F21">
        <v>13</v>
      </c>
      <c r="G21">
        <v>2236</v>
      </c>
      <c r="H21">
        <f t="shared" si="1"/>
        <v>29068</v>
      </c>
    </row>
    <row r="22" spans="1:8">
      <c r="A22">
        <v>20</v>
      </c>
      <c r="B22" s="3">
        <v>40183</v>
      </c>
      <c r="C22" t="s">
        <v>13</v>
      </c>
      <c r="D22" t="s">
        <v>19</v>
      </c>
      <c r="E22" t="s">
        <v>20</v>
      </c>
      <c r="F22">
        <v>10</v>
      </c>
      <c r="G22">
        <v>4569</v>
      </c>
      <c r="H22">
        <f t="shared" si="1"/>
        <v>45690</v>
      </c>
    </row>
    <row r="23" spans="1:8">
      <c r="A23">
        <v>21</v>
      </c>
      <c r="B23" s="3">
        <v>40184</v>
      </c>
      <c r="C23" t="s">
        <v>8</v>
      </c>
      <c r="D23" t="s">
        <v>15</v>
      </c>
      <c r="E23" t="s">
        <v>20</v>
      </c>
      <c r="F23">
        <v>11</v>
      </c>
      <c r="G23">
        <v>3782</v>
      </c>
      <c r="H23">
        <f t="shared" si="1"/>
        <v>41602</v>
      </c>
    </row>
    <row r="24" spans="1:8">
      <c r="A24">
        <v>22</v>
      </c>
      <c r="B24" s="3">
        <v>40185</v>
      </c>
      <c r="C24" t="s">
        <v>10</v>
      </c>
      <c r="D24" t="s">
        <v>16</v>
      </c>
      <c r="E24" t="s">
        <v>20</v>
      </c>
      <c r="F24">
        <v>15</v>
      </c>
      <c r="G24">
        <v>2823</v>
      </c>
      <c r="H24">
        <f t="shared" si="1"/>
        <v>42345</v>
      </c>
    </row>
    <row r="25" spans="1:8">
      <c r="A25">
        <v>23</v>
      </c>
      <c r="B25" s="3">
        <v>40186</v>
      </c>
      <c r="C25" t="s">
        <v>11</v>
      </c>
      <c r="D25" t="s">
        <v>17</v>
      </c>
      <c r="E25" t="s">
        <v>20</v>
      </c>
      <c r="F25">
        <v>12</v>
      </c>
      <c r="G25">
        <v>4729</v>
      </c>
      <c r="H25">
        <f t="shared" si="1"/>
        <v>56748</v>
      </c>
    </row>
    <row r="26" spans="1:8">
      <c r="A26">
        <v>24</v>
      </c>
      <c r="B26" s="3">
        <v>40187</v>
      </c>
      <c r="C26" t="s">
        <v>12</v>
      </c>
      <c r="D26" t="s">
        <v>18</v>
      </c>
      <c r="E26" t="s">
        <v>20</v>
      </c>
      <c r="F26">
        <v>12</v>
      </c>
      <c r="G26">
        <v>4007</v>
      </c>
      <c r="H26">
        <f t="shared" si="1"/>
        <v>48084</v>
      </c>
    </row>
    <row r="27" spans="1:8">
      <c r="A27">
        <v>25</v>
      </c>
      <c r="B27" s="3">
        <v>40188</v>
      </c>
      <c r="C27" t="s">
        <v>13</v>
      </c>
      <c r="D27" t="s">
        <v>19</v>
      </c>
      <c r="E27" t="s">
        <v>20</v>
      </c>
      <c r="F27">
        <v>10</v>
      </c>
      <c r="G27">
        <v>3459</v>
      </c>
      <c r="H27">
        <f t="shared" si="1"/>
        <v>34590</v>
      </c>
    </row>
    <row r="28" spans="1:8">
      <c r="A28">
        <v>26</v>
      </c>
      <c r="B28" s="3">
        <v>40184</v>
      </c>
      <c r="C28" t="s">
        <v>8</v>
      </c>
      <c r="D28" t="s">
        <v>15</v>
      </c>
      <c r="E28" t="s">
        <v>20</v>
      </c>
      <c r="F28">
        <v>11</v>
      </c>
      <c r="G28">
        <v>3782</v>
      </c>
      <c r="H28">
        <f t="shared" si="1"/>
        <v>41602</v>
      </c>
    </row>
    <row r="29" spans="1:8">
      <c r="A29">
        <v>27</v>
      </c>
      <c r="B29" s="3">
        <v>40185</v>
      </c>
      <c r="C29" t="s">
        <v>10</v>
      </c>
      <c r="D29" t="s">
        <v>16</v>
      </c>
      <c r="E29" t="s">
        <v>20</v>
      </c>
      <c r="F29">
        <v>15</v>
      </c>
      <c r="G29">
        <v>2823</v>
      </c>
      <c r="H29">
        <f t="shared" si="1"/>
        <v>42345</v>
      </c>
    </row>
    <row r="30" spans="1:8">
      <c r="A30">
        <v>28</v>
      </c>
      <c r="B30" s="3">
        <v>40186</v>
      </c>
      <c r="C30" t="s">
        <v>11</v>
      </c>
      <c r="D30" t="s">
        <v>17</v>
      </c>
      <c r="E30" t="s">
        <v>20</v>
      </c>
      <c r="F30">
        <v>12</v>
      </c>
      <c r="G30">
        <v>4729</v>
      </c>
      <c r="H30">
        <f t="shared" si="1"/>
        <v>56748</v>
      </c>
    </row>
    <row r="31" spans="1:8">
      <c r="A31">
        <v>29</v>
      </c>
      <c r="B31" s="3">
        <v>40187</v>
      </c>
      <c r="C31" t="s">
        <v>12</v>
      </c>
      <c r="D31" t="s">
        <v>18</v>
      </c>
      <c r="E31" t="s">
        <v>20</v>
      </c>
      <c r="F31">
        <v>12</v>
      </c>
      <c r="G31">
        <v>4007</v>
      </c>
      <c r="H31">
        <f t="shared" si="1"/>
        <v>48084</v>
      </c>
    </row>
    <row r="32" spans="1:8">
      <c r="A32">
        <v>30</v>
      </c>
      <c r="B32" s="3">
        <v>40188</v>
      </c>
      <c r="C32" t="s">
        <v>13</v>
      </c>
      <c r="D32" t="s">
        <v>19</v>
      </c>
      <c r="E32" t="s">
        <v>20</v>
      </c>
      <c r="F32">
        <v>10</v>
      </c>
      <c r="G32">
        <v>3459</v>
      </c>
      <c r="H32">
        <f t="shared" si="1"/>
        <v>34590</v>
      </c>
    </row>
    <row r="33" spans="1:8">
      <c r="A33">
        <v>31</v>
      </c>
      <c r="B33" s="3">
        <v>40179</v>
      </c>
      <c r="C33" t="s">
        <v>11</v>
      </c>
      <c r="D33" t="s">
        <v>15</v>
      </c>
      <c r="E33" t="s">
        <v>21</v>
      </c>
      <c r="F33">
        <v>10</v>
      </c>
      <c r="G33">
        <v>4057</v>
      </c>
      <c r="H33">
        <f>F33*G33</f>
        <v>40570</v>
      </c>
    </row>
    <row r="34" spans="1:8">
      <c r="A34">
        <v>32</v>
      </c>
      <c r="B34" s="3">
        <v>40180</v>
      </c>
      <c r="C34" t="s">
        <v>14</v>
      </c>
      <c r="D34" t="s">
        <v>16</v>
      </c>
      <c r="E34" t="s">
        <v>21</v>
      </c>
      <c r="F34">
        <v>18</v>
      </c>
      <c r="G34">
        <v>3809</v>
      </c>
      <c r="H34">
        <f t="shared" ref="H34:H47" si="2">F34*G34</f>
        <v>68562</v>
      </c>
    </row>
    <row r="35" spans="1:8">
      <c r="A35">
        <v>33</v>
      </c>
      <c r="B35" s="3">
        <v>40181</v>
      </c>
      <c r="C35" t="s">
        <v>10</v>
      </c>
      <c r="D35" t="s">
        <v>17</v>
      </c>
      <c r="E35" t="s">
        <v>21</v>
      </c>
      <c r="F35">
        <v>16</v>
      </c>
      <c r="G35">
        <v>3987</v>
      </c>
      <c r="H35">
        <f t="shared" si="2"/>
        <v>63792</v>
      </c>
    </row>
    <row r="36" spans="1:8">
      <c r="A36">
        <v>34</v>
      </c>
      <c r="B36" s="3">
        <v>40182</v>
      </c>
      <c r="C36" t="s">
        <v>8</v>
      </c>
      <c r="D36" t="s">
        <v>18</v>
      </c>
      <c r="E36" t="s">
        <v>21</v>
      </c>
      <c r="F36">
        <v>10</v>
      </c>
      <c r="G36">
        <v>2346</v>
      </c>
      <c r="H36">
        <f t="shared" si="2"/>
        <v>23460</v>
      </c>
    </row>
    <row r="37" spans="1:8">
      <c r="A37">
        <v>35</v>
      </c>
      <c r="B37" s="3">
        <v>40183</v>
      </c>
      <c r="C37" t="s">
        <v>8</v>
      </c>
      <c r="D37" t="s">
        <v>19</v>
      </c>
      <c r="E37" t="s">
        <v>21</v>
      </c>
      <c r="F37">
        <v>8</v>
      </c>
      <c r="G37">
        <v>4953</v>
      </c>
      <c r="H37">
        <f t="shared" si="2"/>
        <v>39624</v>
      </c>
    </row>
    <row r="38" spans="1:8">
      <c r="A38">
        <v>36</v>
      </c>
      <c r="B38" s="3">
        <v>40184</v>
      </c>
      <c r="C38" t="s">
        <v>11</v>
      </c>
      <c r="D38" t="s">
        <v>15</v>
      </c>
      <c r="E38" t="s">
        <v>21</v>
      </c>
      <c r="F38">
        <v>18</v>
      </c>
      <c r="G38">
        <v>4088</v>
      </c>
      <c r="H38">
        <f t="shared" si="2"/>
        <v>73584</v>
      </c>
    </row>
    <row r="39" spans="1:8">
      <c r="A39">
        <v>37</v>
      </c>
      <c r="B39" s="3">
        <v>40185</v>
      </c>
      <c r="C39" t="s">
        <v>14</v>
      </c>
      <c r="D39" t="s">
        <v>16</v>
      </c>
      <c r="E39" t="s">
        <v>21</v>
      </c>
      <c r="F39">
        <v>15</v>
      </c>
      <c r="G39">
        <v>2531</v>
      </c>
      <c r="H39">
        <f t="shared" si="2"/>
        <v>37965</v>
      </c>
    </row>
    <row r="40" spans="1:8">
      <c r="A40">
        <v>38</v>
      </c>
      <c r="B40" s="3">
        <v>40186</v>
      </c>
      <c r="C40" t="s">
        <v>10</v>
      </c>
      <c r="D40" t="s">
        <v>17</v>
      </c>
      <c r="E40" t="s">
        <v>21</v>
      </c>
      <c r="F40">
        <v>13</v>
      </c>
      <c r="G40">
        <v>4716</v>
      </c>
      <c r="H40">
        <f t="shared" si="2"/>
        <v>61308</v>
      </c>
    </row>
    <row r="41" spans="1:8">
      <c r="A41">
        <v>39</v>
      </c>
      <c r="B41" s="3">
        <v>40187</v>
      </c>
      <c r="C41" t="s">
        <v>8</v>
      </c>
      <c r="D41" t="s">
        <v>18</v>
      </c>
      <c r="E41" t="s">
        <v>21</v>
      </c>
      <c r="F41">
        <v>11</v>
      </c>
      <c r="G41">
        <v>2806</v>
      </c>
      <c r="H41">
        <f t="shared" si="2"/>
        <v>30866</v>
      </c>
    </row>
    <row r="42" spans="1:8">
      <c r="A42">
        <v>40</v>
      </c>
      <c r="B42" s="3">
        <v>40188</v>
      </c>
      <c r="C42" t="s">
        <v>8</v>
      </c>
      <c r="D42" t="s">
        <v>19</v>
      </c>
      <c r="E42" t="s">
        <v>21</v>
      </c>
      <c r="F42">
        <v>5</v>
      </c>
      <c r="G42">
        <v>3350</v>
      </c>
      <c r="H42">
        <f t="shared" si="2"/>
        <v>16750</v>
      </c>
    </row>
    <row r="43" spans="1:8">
      <c r="A43">
        <v>41</v>
      </c>
      <c r="B43" s="3">
        <v>40184</v>
      </c>
      <c r="C43" t="s">
        <v>11</v>
      </c>
      <c r="D43" t="s">
        <v>15</v>
      </c>
      <c r="E43" t="s">
        <v>21</v>
      </c>
      <c r="F43">
        <v>18</v>
      </c>
      <c r="G43">
        <v>4088</v>
      </c>
      <c r="H43">
        <f t="shared" si="2"/>
        <v>73584</v>
      </c>
    </row>
    <row r="44" spans="1:8">
      <c r="A44">
        <v>42</v>
      </c>
      <c r="B44" s="3">
        <v>40185</v>
      </c>
      <c r="C44" t="s">
        <v>14</v>
      </c>
      <c r="D44" t="s">
        <v>16</v>
      </c>
      <c r="E44" t="s">
        <v>21</v>
      </c>
      <c r="F44">
        <v>15</v>
      </c>
      <c r="G44">
        <v>2531</v>
      </c>
      <c r="H44">
        <f t="shared" si="2"/>
        <v>37965</v>
      </c>
    </row>
    <row r="45" spans="1:8">
      <c r="A45">
        <v>43</v>
      </c>
      <c r="B45" s="3">
        <v>40186</v>
      </c>
      <c r="C45" t="s">
        <v>10</v>
      </c>
      <c r="D45" t="s">
        <v>17</v>
      </c>
      <c r="E45" t="s">
        <v>21</v>
      </c>
      <c r="F45">
        <v>13</v>
      </c>
      <c r="G45">
        <v>4716</v>
      </c>
      <c r="H45">
        <f t="shared" si="2"/>
        <v>61308</v>
      </c>
    </row>
    <row r="46" spans="1:8">
      <c r="A46">
        <v>44</v>
      </c>
      <c r="B46" s="3">
        <v>40187</v>
      </c>
      <c r="C46" t="s">
        <v>8</v>
      </c>
      <c r="D46" t="s">
        <v>18</v>
      </c>
      <c r="E46" t="s">
        <v>21</v>
      </c>
      <c r="F46">
        <v>11</v>
      </c>
      <c r="G46">
        <v>2806</v>
      </c>
      <c r="H46">
        <f t="shared" si="2"/>
        <v>30866</v>
      </c>
    </row>
    <row r="47" spans="1:8">
      <c r="A47">
        <v>45</v>
      </c>
      <c r="B47" s="3">
        <v>40188</v>
      </c>
      <c r="C47" t="s">
        <v>8</v>
      </c>
      <c r="D47" t="s">
        <v>19</v>
      </c>
      <c r="E47" t="s">
        <v>21</v>
      </c>
      <c r="F47">
        <v>5</v>
      </c>
      <c r="G47">
        <v>3350</v>
      </c>
      <c r="H47">
        <f t="shared" si="2"/>
        <v>16750</v>
      </c>
    </row>
    <row r="48" spans="1:8">
      <c r="A48">
        <v>46</v>
      </c>
      <c r="B48" s="3">
        <v>40179</v>
      </c>
      <c r="C48" t="s">
        <v>13</v>
      </c>
      <c r="D48" t="s">
        <v>15</v>
      </c>
      <c r="E48" t="s">
        <v>22</v>
      </c>
      <c r="F48">
        <v>5</v>
      </c>
      <c r="G48">
        <v>3270</v>
      </c>
      <c r="H48">
        <f>F48*G48</f>
        <v>16350</v>
      </c>
    </row>
    <row r="49" spans="1:8">
      <c r="A49">
        <v>47</v>
      </c>
      <c r="B49" s="3">
        <v>40180</v>
      </c>
      <c r="C49" t="s">
        <v>12</v>
      </c>
      <c r="D49" t="s">
        <v>16</v>
      </c>
      <c r="E49" t="s">
        <v>22</v>
      </c>
      <c r="F49">
        <v>17</v>
      </c>
      <c r="G49">
        <v>4245</v>
      </c>
      <c r="H49">
        <f t="shared" ref="H49:H63" si="3">F49*G49</f>
        <v>72165</v>
      </c>
    </row>
    <row r="50" spans="1:8">
      <c r="A50">
        <v>48</v>
      </c>
      <c r="B50" s="3">
        <v>40181</v>
      </c>
      <c r="C50" t="s">
        <v>13</v>
      </c>
      <c r="D50" t="s">
        <v>17</v>
      </c>
      <c r="E50" t="s">
        <v>22</v>
      </c>
      <c r="F50">
        <v>5</v>
      </c>
      <c r="G50">
        <v>4864</v>
      </c>
      <c r="H50">
        <f t="shared" si="3"/>
        <v>24320</v>
      </c>
    </row>
    <row r="51" spans="1:8">
      <c r="A51">
        <v>49</v>
      </c>
      <c r="B51" s="3">
        <v>40182</v>
      </c>
      <c r="C51" t="s">
        <v>13</v>
      </c>
      <c r="D51" t="s">
        <v>18</v>
      </c>
      <c r="E51" t="s">
        <v>22</v>
      </c>
      <c r="F51">
        <v>6</v>
      </c>
      <c r="G51">
        <v>2381</v>
      </c>
      <c r="H51">
        <f t="shared" si="3"/>
        <v>14286</v>
      </c>
    </row>
    <row r="52" spans="1:8">
      <c r="A52">
        <v>50</v>
      </c>
      <c r="B52" s="3">
        <v>40183</v>
      </c>
      <c r="C52" t="s">
        <v>11</v>
      </c>
      <c r="D52" t="s">
        <v>19</v>
      </c>
      <c r="E52" t="s">
        <v>22</v>
      </c>
      <c r="F52">
        <v>10</v>
      </c>
      <c r="G52">
        <v>3503</v>
      </c>
      <c r="H52">
        <f t="shared" si="3"/>
        <v>35030</v>
      </c>
    </row>
    <row r="53" spans="1:8">
      <c r="A53">
        <v>51</v>
      </c>
      <c r="B53" s="3">
        <v>40184</v>
      </c>
      <c r="C53" t="s">
        <v>13</v>
      </c>
      <c r="D53" t="s">
        <v>15</v>
      </c>
      <c r="E53" t="s">
        <v>22</v>
      </c>
      <c r="F53">
        <v>5</v>
      </c>
      <c r="G53">
        <v>3176</v>
      </c>
      <c r="H53">
        <f t="shared" si="3"/>
        <v>15880</v>
      </c>
    </row>
    <row r="54" spans="1:8">
      <c r="A54">
        <v>52</v>
      </c>
      <c r="B54" s="3">
        <v>40185</v>
      </c>
      <c r="C54" t="s">
        <v>12</v>
      </c>
      <c r="D54" t="s">
        <v>16</v>
      </c>
      <c r="E54" t="s">
        <v>22</v>
      </c>
      <c r="F54">
        <v>12</v>
      </c>
      <c r="G54">
        <v>4192</v>
      </c>
      <c r="H54">
        <f t="shared" si="3"/>
        <v>50304</v>
      </c>
    </row>
    <row r="55" spans="1:8">
      <c r="A55">
        <v>53</v>
      </c>
      <c r="B55" s="3">
        <v>40186</v>
      </c>
      <c r="C55" t="s">
        <v>13</v>
      </c>
      <c r="D55" t="s">
        <v>17</v>
      </c>
      <c r="E55" t="s">
        <v>22</v>
      </c>
      <c r="F55">
        <v>2</v>
      </c>
      <c r="G55">
        <v>4793</v>
      </c>
      <c r="H55">
        <f t="shared" si="3"/>
        <v>9586</v>
      </c>
    </row>
    <row r="56" spans="1:8">
      <c r="A56">
        <v>54</v>
      </c>
      <c r="B56" s="3">
        <v>40187</v>
      </c>
      <c r="C56" t="s">
        <v>13</v>
      </c>
      <c r="D56" t="s">
        <v>18</v>
      </c>
      <c r="E56" t="s">
        <v>22</v>
      </c>
      <c r="F56">
        <v>5</v>
      </c>
      <c r="G56">
        <v>2204</v>
      </c>
      <c r="H56">
        <f t="shared" si="3"/>
        <v>11020</v>
      </c>
    </row>
    <row r="57" spans="1:8">
      <c r="A57">
        <v>55</v>
      </c>
      <c r="B57" s="3">
        <v>40188</v>
      </c>
      <c r="C57" t="s">
        <v>11</v>
      </c>
      <c r="D57" t="s">
        <v>19</v>
      </c>
      <c r="E57" t="s">
        <v>22</v>
      </c>
      <c r="F57">
        <v>18</v>
      </c>
      <c r="G57">
        <v>4183</v>
      </c>
      <c r="H57">
        <f t="shared" si="3"/>
        <v>75294</v>
      </c>
    </row>
    <row r="58" spans="1:8">
      <c r="A58">
        <v>56</v>
      </c>
      <c r="B58" s="3">
        <v>40183</v>
      </c>
      <c r="C58" t="s">
        <v>11</v>
      </c>
      <c r="D58" t="s">
        <v>19</v>
      </c>
      <c r="E58" t="s">
        <v>22</v>
      </c>
      <c r="F58">
        <v>10</v>
      </c>
      <c r="G58">
        <v>3503</v>
      </c>
      <c r="H58">
        <f t="shared" si="3"/>
        <v>35030</v>
      </c>
    </row>
    <row r="59" spans="1:8">
      <c r="A59">
        <v>57</v>
      </c>
      <c r="B59" s="3">
        <v>40184</v>
      </c>
      <c r="C59" t="s">
        <v>13</v>
      </c>
      <c r="D59" t="s">
        <v>15</v>
      </c>
      <c r="E59" t="s">
        <v>22</v>
      </c>
      <c r="F59">
        <v>5</v>
      </c>
      <c r="G59">
        <v>3176</v>
      </c>
      <c r="H59">
        <f t="shared" si="3"/>
        <v>15880</v>
      </c>
    </row>
    <row r="60" spans="1:8">
      <c r="A60">
        <v>58</v>
      </c>
      <c r="B60" s="3">
        <v>40185</v>
      </c>
      <c r="C60" t="s">
        <v>12</v>
      </c>
      <c r="D60" t="s">
        <v>16</v>
      </c>
      <c r="E60" t="s">
        <v>22</v>
      </c>
      <c r="F60">
        <v>12</v>
      </c>
      <c r="G60">
        <v>4192</v>
      </c>
      <c r="H60">
        <f t="shared" si="3"/>
        <v>50304</v>
      </c>
    </row>
    <row r="61" spans="1:8">
      <c r="A61">
        <v>59</v>
      </c>
      <c r="B61" s="3">
        <v>40186</v>
      </c>
      <c r="C61" t="s">
        <v>13</v>
      </c>
      <c r="D61" t="s">
        <v>17</v>
      </c>
      <c r="E61" t="s">
        <v>22</v>
      </c>
      <c r="F61">
        <v>2</v>
      </c>
      <c r="G61">
        <v>4793</v>
      </c>
      <c r="H61">
        <f t="shared" si="3"/>
        <v>9586</v>
      </c>
    </row>
    <row r="62" spans="1:8">
      <c r="A62">
        <v>60</v>
      </c>
      <c r="B62" s="3">
        <v>40187</v>
      </c>
      <c r="C62" t="s">
        <v>13</v>
      </c>
      <c r="D62" t="s">
        <v>18</v>
      </c>
      <c r="E62" t="s">
        <v>22</v>
      </c>
      <c r="F62">
        <v>5</v>
      </c>
      <c r="G62">
        <v>2204</v>
      </c>
      <c r="H62">
        <f t="shared" si="3"/>
        <v>11020</v>
      </c>
    </row>
    <row r="63" spans="1:8">
      <c r="A63">
        <v>61</v>
      </c>
      <c r="B63" s="3">
        <v>40188</v>
      </c>
      <c r="C63" t="s">
        <v>11</v>
      </c>
      <c r="D63" t="s">
        <v>19</v>
      </c>
      <c r="E63" t="s">
        <v>22</v>
      </c>
      <c r="F63">
        <v>18</v>
      </c>
      <c r="G63">
        <v>4183</v>
      </c>
      <c r="H63">
        <f t="shared" si="3"/>
        <v>75294</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heetViews>
  <sheetFormatPr baseColWidth="10" defaultColWidth="8.83203125" defaultRowHeight="15"/>
  <cols>
    <col min="1" max="1" width="9.1640625" style="1"/>
    <col min="2" max="2" width="11.1640625" style="1" customWidth="1"/>
    <col min="3" max="3" width="14" customWidth="1"/>
    <col min="4" max="4" width="18.83203125" customWidth="1"/>
    <col min="5" max="7" width="9.1640625" style="1"/>
    <col min="8" max="8" width="12.5" style="1" customWidth="1"/>
  </cols>
  <sheetData>
    <row r="1" spans="1:8">
      <c r="A1" t="s">
        <v>7</v>
      </c>
      <c r="B1" t="s">
        <v>0</v>
      </c>
      <c r="C1" t="s">
        <v>1</v>
      </c>
      <c r="D1" t="s">
        <v>2</v>
      </c>
      <c r="E1" t="s">
        <v>3</v>
      </c>
      <c r="F1" t="s">
        <v>4</v>
      </c>
      <c r="G1" t="s">
        <v>5</v>
      </c>
      <c r="H1" t="s">
        <v>6</v>
      </c>
    </row>
    <row r="2" spans="1:8">
      <c r="A2">
        <v>1</v>
      </c>
      <c r="B2" s="3">
        <v>40179</v>
      </c>
      <c r="C2" t="s">
        <v>10</v>
      </c>
      <c r="D2" t="s">
        <v>15</v>
      </c>
      <c r="E2" t="s">
        <v>9</v>
      </c>
      <c r="F2">
        <v>16</v>
      </c>
      <c r="G2">
        <v>2195</v>
      </c>
      <c r="H2">
        <f>F2*G2</f>
        <v>35120</v>
      </c>
    </row>
    <row r="3" spans="1:8">
      <c r="A3">
        <v>2</v>
      </c>
      <c r="B3" s="3">
        <v>40180</v>
      </c>
      <c r="C3" t="s">
        <v>8</v>
      </c>
      <c r="D3" t="s">
        <v>16</v>
      </c>
      <c r="E3" t="s">
        <v>9</v>
      </c>
      <c r="F3">
        <v>16</v>
      </c>
      <c r="G3">
        <v>3971</v>
      </c>
      <c r="H3">
        <f t="shared" ref="H3:H11" si="0">F3*G3</f>
        <v>63536</v>
      </c>
    </row>
    <row r="4" spans="1:8">
      <c r="A4">
        <v>3</v>
      </c>
      <c r="B4" s="3">
        <v>40181</v>
      </c>
      <c r="C4" t="s">
        <v>12</v>
      </c>
      <c r="D4" t="s">
        <v>17</v>
      </c>
      <c r="E4" t="s">
        <v>9</v>
      </c>
      <c r="F4">
        <v>11</v>
      </c>
      <c r="G4">
        <v>4859</v>
      </c>
      <c r="H4">
        <f t="shared" si="0"/>
        <v>53449</v>
      </c>
    </row>
    <row r="5" spans="1:8">
      <c r="A5">
        <v>4</v>
      </c>
      <c r="B5" s="3">
        <v>40182</v>
      </c>
      <c r="C5" t="s">
        <v>11</v>
      </c>
      <c r="D5" t="s">
        <v>18</v>
      </c>
      <c r="E5" t="s">
        <v>9</v>
      </c>
      <c r="F5">
        <v>16</v>
      </c>
      <c r="G5">
        <v>2055</v>
      </c>
      <c r="H5">
        <f t="shared" si="0"/>
        <v>32880</v>
      </c>
    </row>
    <row r="6" spans="1:8">
      <c r="A6">
        <v>5</v>
      </c>
      <c r="B6" s="3">
        <v>40183</v>
      </c>
      <c r="C6" t="s">
        <v>14</v>
      </c>
      <c r="D6" t="s">
        <v>19</v>
      </c>
      <c r="E6" t="s">
        <v>9</v>
      </c>
      <c r="F6">
        <v>17</v>
      </c>
      <c r="G6">
        <v>3892</v>
      </c>
      <c r="H6">
        <f t="shared" si="0"/>
        <v>66164</v>
      </c>
    </row>
    <row r="7" spans="1:8">
      <c r="A7">
        <v>6</v>
      </c>
      <c r="B7" s="3">
        <v>40184</v>
      </c>
      <c r="C7" t="s">
        <v>10</v>
      </c>
      <c r="D7" t="s">
        <v>15</v>
      </c>
      <c r="E7" t="s">
        <v>9</v>
      </c>
      <c r="F7">
        <v>11</v>
      </c>
      <c r="G7">
        <v>4640</v>
      </c>
      <c r="H7">
        <f t="shared" si="0"/>
        <v>51040</v>
      </c>
    </row>
    <row r="8" spans="1:8">
      <c r="A8">
        <v>7</v>
      </c>
      <c r="B8" s="3">
        <v>40185</v>
      </c>
      <c r="C8" t="s">
        <v>8</v>
      </c>
      <c r="D8" t="s">
        <v>16</v>
      </c>
      <c r="E8" t="s">
        <v>9</v>
      </c>
      <c r="F8">
        <v>16</v>
      </c>
      <c r="G8">
        <v>4610</v>
      </c>
      <c r="H8">
        <f t="shared" si="0"/>
        <v>73760</v>
      </c>
    </row>
    <row r="9" spans="1:8">
      <c r="A9">
        <v>8</v>
      </c>
      <c r="B9" s="3">
        <v>40186</v>
      </c>
      <c r="C9" t="s">
        <v>12</v>
      </c>
      <c r="D9" t="s">
        <v>17</v>
      </c>
      <c r="E9" t="s">
        <v>9</v>
      </c>
      <c r="F9">
        <v>18</v>
      </c>
      <c r="G9">
        <v>2221</v>
      </c>
      <c r="H9">
        <f t="shared" si="0"/>
        <v>39978</v>
      </c>
    </row>
    <row r="10" spans="1:8">
      <c r="A10">
        <v>9</v>
      </c>
      <c r="B10" s="3">
        <v>40187</v>
      </c>
      <c r="C10" t="s">
        <v>11</v>
      </c>
      <c r="D10" t="s">
        <v>18</v>
      </c>
      <c r="E10" t="s">
        <v>9</v>
      </c>
      <c r="F10">
        <v>14</v>
      </c>
      <c r="G10">
        <v>3949</v>
      </c>
      <c r="H10">
        <f t="shared" si="0"/>
        <v>55286</v>
      </c>
    </row>
    <row r="11" spans="1:8">
      <c r="A11">
        <v>10</v>
      </c>
      <c r="B11" s="3">
        <v>40188</v>
      </c>
      <c r="C11" t="s">
        <v>14</v>
      </c>
      <c r="D11" t="s">
        <v>19</v>
      </c>
      <c r="E11" t="s">
        <v>9</v>
      </c>
      <c r="F11">
        <v>14</v>
      </c>
      <c r="G11">
        <v>2943</v>
      </c>
      <c r="H11">
        <f t="shared" si="0"/>
        <v>41202</v>
      </c>
    </row>
    <row r="12" spans="1:8">
      <c r="A12">
        <v>11</v>
      </c>
      <c r="B12" s="3">
        <v>40184</v>
      </c>
      <c r="C12" t="s">
        <v>10</v>
      </c>
      <c r="D12" t="s">
        <v>15</v>
      </c>
      <c r="E12" t="s">
        <v>9</v>
      </c>
      <c r="F12">
        <v>11</v>
      </c>
      <c r="G12">
        <v>4640</v>
      </c>
      <c r="H12">
        <f t="shared" ref="H12:H16" si="1">F12*G12</f>
        <v>51040</v>
      </c>
    </row>
    <row r="13" spans="1:8">
      <c r="A13">
        <v>12</v>
      </c>
      <c r="B13" s="3">
        <v>40185</v>
      </c>
      <c r="C13" t="s">
        <v>8</v>
      </c>
      <c r="D13" t="s">
        <v>16</v>
      </c>
      <c r="E13" t="s">
        <v>9</v>
      </c>
      <c r="F13">
        <v>16</v>
      </c>
      <c r="G13">
        <v>4610</v>
      </c>
      <c r="H13">
        <f t="shared" si="1"/>
        <v>73760</v>
      </c>
    </row>
    <row r="14" spans="1:8">
      <c r="A14">
        <v>13</v>
      </c>
      <c r="B14" s="3">
        <v>40186</v>
      </c>
      <c r="C14" t="s">
        <v>12</v>
      </c>
      <c r="D14" t="s">
        <v>17</v>
      </c>
      <c r="E14" t="s">
        <v>9</v>
      </c>
      <c r="F14">
        <v>18</v>
      </c>
      <c r="G14">
        <v>2221</v>
      </c>
      <c r="H14">
        <f t="shared" si="1"/>
        <v>39978</v>
      </c>
    </row>
    <row r="15" spans="1:8">
      <c r="A15">
        <v>14</v>
      </c>
      <c r="B15" s="3">
        <v>40187</v>
      </c>
      <c r="C15" t="s">
        <v>11</v>
      </c>
      <c r="D15" t="s">
        <v>18</v>
      </c>
      <c r="E15" t="s">
        <v>9</v>
      </c>
      <c r="F15">
        <v>14</v>
      </c>
      <c r="G15">
        <v>3949</v>
      </c>
      <c r="H15">
        <f t="shared" si="1"/>
        <v>55286</v>
      </c>
    </row>
    <row r="16" spans="1:8">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
    </sheetView>
  </sheetViews>
  <sheetFormatPr baseColWidth="10" defaultColWidth="8.83203125" defaultRowHeight="15"/>
  <cols>
    <col min="1" max="1" width="9.1640625" style="1"/>
    <col min="2" max="2" width="11.1640625" style="1" customWidth="1"/>
    <col min="3" max="3" width="14" customWidth="1"/>
    <col min="4" max="4" width="18.83203125" customWidth="1"/>
    <col min="5" max="7" width="9.1640625" style="1"/>
    <col min="8" max="8" width="12.5" style="1" customWidth="1"/>
  </cols>
  <sheetData>
    <row r="1" spans="1:8">
      <c r="A1" t="s">
        <v>7</v>
      </c>
      <c r="B1" t="s">
        <v>0</v>
      </c>
      <c r="C1" t="s">
        <v>1</v>
      </c>
      <c r="D1" t="s">
        <v>2</v>
      </c>
      <c r="E1" t="s">
        <v>3</v>
      </c>
      <c r="F1" t="s">
        <v>4</v>
      </c>
      <c r="G1" t="s">
        <v>5</v>
      </c>
      <c r="H1" t="s">
        <v>6</v>
      </c>
    </row>
    <row r="2" spans="1:8">
      <c r="A2">
        <v>1</v>
      </c>
      <c r="B2" s="3">
        <v>40179</v>
      </c>
      <c r="C2" t="s">
        <v>8</v>
      </c>
      <c r="D2" t="s">
        <v>15</v>
      </c>
      <c r="E2" t="s">
        <v>20</v>
      </c>
      <c r="F2">
        <v>16</v>
      </c>
      <c r="G2">
        <v>2856</v>
      </c>
      <c r="H2">
        <f>F2*G2</f>
        <v>45696</v>
      </c>
    </row>
    <row r="3" spans="1:8">
      <c r="A3">
        <v>2</v>
      </c>
      <c r="B3" s="3">
        <v>40180</v>
      </c>
      <c r="C3" t="s">
        <v>10</v>
      </c>
      <c r="D3" t="s">
        <v>16</v>
      </c>
      <c r="E3" t="s">
        <v>20</v>
      </c>
      <c r="F3">
        <v>13</v>
      </c>
      <c r="G3">
        <v>2722</v>
      </c>
      <c r="H3">
        <f t="shared" ref="H3:H11" si="0">F3*G3</f>
        <v>35386</v>
      </c>
    </row>
    <row r="4" spans="1:8">
      <c r="A4">
        <v>3</v>
      </c>
      <c r="B4" s="3">
        <v>40181</v>
      </c>
      <c r="C4" t="s">
        <v>11</v>
      </c>
      <c r="D4" t="s">
        <v>17</v>
      </c>
      <c r="E4" t="s">
        <v>20</v>
      </c>
      <c r="F4">
        <v>18</v>
      </c>
      <c r="G4">
        <v>2900</v>
      </c>
      <c r="H4">
        <f t="shared" si="0"/>
        <v>52200</v>
      </c>
    </row>
    <row r="5" spans="1:8">
      <c r="A5">
        <v>4</v>
      </c>
      <c r="B5" s="3">
        <v>40182</v>
      </c>
      <c r="C5" t="s">
        <v>12</v>
      </c>
      <c r="D5" t="s">
        <v>18</v>
      </c>
      <c r="E5" t="s">
        <v>20</v>
      </c>
      <c r="F5">
        <v>13</v>
      </c>
      <c r="G5">
        <v>2236</v>
      </c>
      <c r="H5">
        <f t="shared" si="0"/>
        <v>29068</v>
      </c>
    </row>
    <row r="6" spans="1:8">
      <c r="A6">
        <v>5</v>
      </c>
      <c r="B6" s="3">
        <v>40183</v>
      </c>
      <c r="C6" t="s">
        <v>13</v>
      </c>
      <c r="D6" t="s">
        <v>19</v>
      </c>
      <c r="E6" t="s">
        <v>20</v>
      </c>
      <c r="F6">
        <v>10</v>
      </c>
      <c r="G6">
        <v>4569</v>
      </c>
      <c r="H6">
        <f t="shared" si="0"/>
        <v>45690</v>
      </c>
    </row>
    <row r="7" spans="1:8">
      <c r="A7">
        <v>6</v>
      </c>
      <c r="B7" s="3">
        <v>40184</v>
      </c>
      <c r="C7" t="s">
        <v>8</v>
      </c>
      <c r="D7" t="s">
        <v>15</v>
      </c>
      <c r="E7" t="s">
        <v>20</v>
      </c>
      <c r="F7">
        <v>11</v>
      </c>
      <c r="G7">
        <v>3782</v>
      </c>
      <c r="H7">
        <f t="shared" si="0"/>
        <v>41602</v>
      </c>
    </row>
    <row r="8" spans="1:8">
      <c r="A8">
        <v>7</v>
      </c>
      <c r="B8" s="3">
        <v>40185</v>
      </c>
      <c r="C8" t="s">
        <v>10</v>
      </c>
      <c r="D8" t="s">
        <v>16</v>
      </c>
      <c r="E8" t="s">
        <v>20</v>
      </c>
      <c r="F8">
        <v>15</v>
      </c>
      <c r="G8">
        <v>2823</v>
      </c>
      <c r="H8">
        <f t="shared" si="0"/>
        <v>42345</v>
      </c>
    </row>
    <row r="9" spans="1:8">
      <c r="A9">
        <v>8</v>
      </c>
      <c r="B9" s="3">
        <v>40186</v>
      </c>
      <c r="C9" t="s">
        <v>11</v>
      </c>
      <c r="D9" t="s">
        <v>17</v>
      </c>
      <c r="E9" t="s">
        <v>20</v>
      </c>
      <c r="F9">
        <v>12</v>
      </c>
      <c r="G9">
        <v>4729</v>
      </c>
      <c r="H9">
        <f t="shared" si="0"/>
        <v>56748</v>
      </c>
    </row>
    <row r="10" spans="1:8">
      <c r="A10">
        <v>9</v>
      </c>
      <c r="B10" s="3">
        <v>40187</v>
      </c>
      <c r="C10" t="s">
        <v>12</v>
      </c>
      <c r="D10" t="s">
        <v>18</v>
      </c>
      <c r="E10" t="s">
        <v>20</v>
      </c>
      <c r="F10">
        <v>12</v>
      </c>
      <c r="G10">
        <v>4007</v>
      </c>
      <c r="H10">
        <f t="shared" si="0"/>
        <v>48084</v>
      </c>
    </row>
    <row r="11" spans="1:8">
      <c r="A11">
        <v>10</v>
      </c>
      <c r="B11" s="3">
        <v>40188</v>
      </c>
      <c r="C11" t="s">
        <v>13</v>
      </c>
      <c r="D11" t="s">
        <v>19</v>
      </c>
      <c r="E11" t="s">
        <v>20</v>
      </c>
      <c r="F11">
        <v>10</v>
      </c>
      <c r="G11">
        <v>3459</v>
      </c>
      <c r="H11">
        <f t="shared" si="0"/>
        <v>34590</v>
      </c>
    </row>
    <row r="12" spans="1:8">
      <c r="A12">
        <v>11</v>
      </c>
      <c r="B12" s="3">
        <v>40184</v>
      </c>
      <c r="C12" t="s">
        <v>8</v>
      </c>
      <c r="D12" t="s">
        <v>15</v>
      </c>
      <c r="E12" t="s">
        <v>20</v>
      </c>
      <c r="F12">
        <v>11</v>
      </c>
      <c r="G12">
        <v>3782</v>
      </c>
      <c r="H12">
        <f t="shared" ref="H12:H16" si="1">F12*G12</f>
        <v>41602</v>
      </c>
    </row>
    <row r="13" spans="1:8">
      <c r="A13">
        <v>12</v>
      </c>
      <c r="B13" s="3">
        <v>40185</v>
      </c>
      <c r="C13" t="s">
        <v>10</v>
      </c>
      <c r="D13" t="s">
        <v>16</v>
      </c>
      <c r="E13" t="s">
        <v>20</v>
      </c>
      <c r="F13">
        <v>15</v>
      </c>
      <c r="G13">
        <v>2823</v>
      </c>
      <c r="H13">
        <f t="shared" si="1"/>
        <v>42345</v>
      </c>
    </row>
    <row r="14" spans="1:8">
      <c r="A14">
        <v>13</v>
      </c>
      <c r="B14" s="3">
        <v>40186</v>
      </c>
      <c r="C14" t="s">
        <v>11</v>
      </c>
      <c r="D14" t="s">
        <v>17</v>
      </c>
      <c r="E14" t="s">
        <v>20</v>
      </c>
      <c r="F14">
        <v>12</v>
      </c>
      <c r="G14">
        <v>4729</v>
      </c>
      <c r="H14">
        <f t="shared" si="1"/>
        <v>56748</v>
      </c>
    </row>
    <row r="15" spans="1:8">
      <c r="A15">
        <v>14</v>
      </c>
      <c r="B15" s="3">
        <v>40187</v>
      </c>
      <c r="C15" t="s">
        <v>12</v>
      </c>
      <c r="D15" t="s">
        <v>18</v>
      </c>
      <c r="E15" t="s">
        <v>20</v>
      </c>
      <c r="F15">
        <v>12</v>
      </c>
      <c r="G15">
        <v>4007</v>
      </c>
      <c r="H15">
        <f t="shared" si="1"/>
        <v>48084</v>
      </c>
    </row>
    <row r="16" spans="1:8">
      <c r="A16">
        <v>15</v>
      </c>
      <c r="B16" s="3">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
    </sheetView>
  </sheetViews>
  <sheetFormatPr baseColWidth="10" defaultColWidth="8.83203125" defaultRowHeight="15"/>
  <cols>
    <col min="1" max="1" width="9.1640625" style="1"/>
    <col min="2" max="2" width="11.1640625" style="1" customWidth="1"/>
    <col min="3" max="3" width="14" customWidth="1"/>
    <col min="4" max="4" width="18.83203125" customWidth="1"/>
    <col min="5" max="7" width="9.1640625" style="1"/>
    <col min="8" max="8" width="12.5" style="1" customWidth="1"/>
  </cols>
  <sheetData>
    <row r="1" spans="1:8">
      <c r="A1" t="s">
        <v>7</v>
      </c>
      <c r="B1" t="s">
        <v>0</v>
      </c>
      <c r="C1" t="s">
        <v>1</v>
      </c>
      <c r="D1" t="s">
        <v>2</v>
      </c>
      <c r="E1" t="s">
        <v>3</v>
      </c>
      <c r="F1" t="s">
        <v>4</v>
      </c>
      <c r="G1" t="s">
        <v>5</v>
      </c>
      <c r="H1" t="s">
        <v>6</v>
      </c>
    </row>
    <row r="2" spans="1:8">
      <c r="A2">
        <v>1</v>
      </c>
      <c r="B2" s="3">
        <v>40179</v>
      </c>
      <c r="C2" t="s">
        <v>11</v>
      </c>
      <c r="D2" t="s">
        <v>15</v>
      </c>
      <c r="E2" t="s">
        <v>21</v>
      </c>
      <c r="F2">
        <v>10</v>
      </c>
      <c r="G2">
        <v>4057</v>
      </c>
      <c r="H2">
        <f>F2*G2</f>
        <v>40570</v>
      </c>
    </row>
    <row r="3" spans="1:8">
      <c r="A3">
        <v>2</v>
      </c>
      <c r="B3" s="3">
        <v>40180</v>
      </c>
      <c r="C3" t="s">
        <v>14</v>
      </c>
      <c r="D3" t="s">
        <v>16</v>
      </c>
      <c r="E3" t="s">
        <v>21</v>
      </c>
      <c r="F3">
        <v>18</v>
      </c>
      <c r="G3">
        <v>3809</v>
      </c>
      <c r="H3">
        <f t="shared" ref="H3:H11" si="0">F3*G3</f>
        <v>68562</v>
      </c>
    </row>
    <row r="4" spans="1:8">
      <c r="A4">
        <v>3</v>
      </c>
      <c r="B4" s="3">
        <v>40181</v>
      </c>
      <c r="C4" t="s">
        <v>10</v>
      </c>
      <c r="D4" t="s">
        <v>17</v>
      </c>
      <c r="E4" t="s">
        <v>21</v>
      </c>
      <c r="F4">
        <v>16</v>
      </c>
      <c r="G4">
        <v>3987</v>
      </c>
      <c r="H4">
        <f t="shared" si="0"/>
        <v>63792</v>
      </c>
    </row>
    <row r="5" spans="1:8">
      <c r="A5">
        <v>4</v>
      </c>
      <c r="B5" s="3">
        <v>40182</v>
      </c>
      <c r="C5" t="s">
        <v>8</v>
      </c>
      <c r="D5" t="s">
        <v>18</v>
      </c>
      <c r="E5" t="s">
        <v>21</v>
      </c>
      <c r="F5">
        <v>10</v>
      </c>
      <c r="G5">
        <v>2346</v>
      </c>
      <c r="H5">
        <f t="shared" si="0"/>
        <v>23460</v>
      </c>
    </row>
    <row r="6" spans="1:8">
      <c r="A6">
        <v>5</v>
      </c>
      <c r="B6" s="3">
        <v>40183</v>
      </c>
      <c r="C6" t="s">
        <v>8</v>
      </c>
      <c r="D6" t="s">
        <v>19</v>
      </c>
      <c r="E6" t="s">
        <v>21</v>
      </c>
      <c r="F6">
        <v>8</v>
      </c>
      <c r="G6">
        <v>4953</v>
      </c>
      <c r="H6">
        <f t="shared" si="0"/>
        <v>39624</v>
      </c>
    </row>
    <row r="7" spans="1:8">
      <c r="A7">
        <v>6</v>
      </c>
      <c r="B7" s="3">
        <v>40184</v>
      </c>
      <c r="C7" t="s">
        <v>11</v>
      </c>
      <c r="D7" t="s">
        <v>15</v>
      </c>
      <c r="E7" t="s">
        <v>21</v>
      </c>
      <c r="F7">
        <v>18</v>
      </c>
      <c r="G7">
        <v>4088</v>
      </c>
      <c r="H7">
        <f t="shared" si="0"/>
        <v>73584</v>
      </c>
    </row>
    <row r="8" spans="1:8">
      <c r="A8">
        <v>7</v>
      </c>
      <c r="B8" s="3">
        <v>40185</v>
      </c>
      <c r="C8" t="s">
        <v>14</v>
      </c>
      <c r="D8" t="s">
        <v>16</v>
      </c>
      <c r="E8" t="s">
        <v>21</v>
      </c>
      <c r="F8">
        <v>15</v>
      </c>
      <c r="G8">
        <v>2531</v>
      </c>
      <c r="H8">
        <f t="shared" si="0"/>
        <v>37965</v>
      </c>
    </row>
    <row r="9" spans="1:8">
      <c r="A9">
        <v>8</v>
      </c>
      <c r="B9" s="3">
        <v>40186</v>
      </c>
      <c r="C9" t="s">
        <v>10</v>
      </c>
      <c r="D9" t="s">
        <v>17</v>
      </c>
      <c r="E9" t="s">
        <v>21</v>
      </c>
      <c r="F9">
        <v>13</v>
      </c>
      <c r="G9">
        <v>4716</v>
      </c>
      <c r="H9">
        <f t="shared" si="0"/>
        <v>61308</v>
      </c>
    </row>
    <row r="10" spans="1:8">
      <c r="A10">
        <v>9</v>
      </c>
      <c r="B10" s="3">
        <v>40187</v>
      </c>
      <c r="C10" t="s">
        <v>8</v>
      </c>
      <c r="D10" t="s">
        <v>18</v>
      </c>
      <c r="E10" t="s">
        <v>21</v>
      </c>
      <c r="F10">
        <v>11</v>
      </c>
      <c r="G10">
        <v>2806</v>
      </c>
      <c r="H10">
        <f t="shared" si="0"/>
        <v>30866</v>
      </c>
    </row>
    <row r="11" spans="1:8">
      <c r="A11">
        <v>10</v>
      </c>
      <c r="B11" s="3">
        <v>40188</v>
      </c>
      <c r="C11" t="s">
        <v>8</v>
      </c>
      <c r="D11" t="s">
        <v>19</v>
      </c>
      <c r="E11" t="s">
        <v>21</v>
      </c>
      <c r="F11">
        <v>5</v>
      </c>
      <c r="G11">
        <v>3350</v>
      </c>
      <c r="H11">
        <f t="shared" si="0"/>
        <v>16750</v>
      </c>
    </row>
    <row r="12" spans="1:8">
      <c r="A12">
        <v>11</v>
      </c>
      <c r="B12" s="3">
        <v>40184</v>
      </c>
      <c r="C12" t="s">
        <v>11</v>
      </c>
      <c r="D12" t="s">
        <v>15</v>
      </c>
      <c r="E12" t="s">
        <v>21</v>
      </c>
      <c r="F12">
        <v>18</v>
      </c>
      <c r="G12">
        <v>4088</v>
      </c>
      <c r="H12">
        <f t="shared" ref="H12:H16" si="1">F12*G12</f>
        <v>73584</v>
      </c>
    </row>
    <row r="13" spans="1:8">
      <c r="A13">
        <v>12</v>
      </c>
      <c r="B13" s="3">
        <v>40185</v>
      </c>
      <c r="C13" t="s">
        <v>14</v>
      </c>
      <c r="D13" t="s">
        <v>16</v>
      </c>
      <c r="E13" t="s">
        <v>21</v>
      </c>
      <c r="F13">
        <v>15</v>
      </c>
      <c r="G13">
        <v>2531</v>
      </c>
      <c r="H13">
        <f t="shared" si="1"/>
        <v>37965</v>
      </c>
    </row>
    <row r="14" spans="1:8">
      <c r="A14">
        <v>13</v>
      </c>
      <c r="B14" s="3">
        <v>40186</v>
      </c>
      <c r="C14" t="s">
        <v>10</v>
      </c>
      <c r="D14" t="s">
        <v>17</v>
      </c>
      <c r="E14" t="s">
        <v>21</v>
      </c>
      <c r="F14">
        <v>13</v>
      </c>
      <c r="G14">
        <v>4716</v>
      </c>
      <c r="H14">
        <f t="shared" si="1"/>
        <v>61308</v>
      </c>
    </row>
    <row r="15" spans="1:8">
      <c r="A15">
        <v>14</v>
      </c>
      <c r="B15" s="3">
        <v>40187</v>
      </c>
      <c r="C15" t="s">
        <v>8</v>
      </c>
      <c r="D15" t="s">
        <v>18</v>
      </c>
      <c r="E15" t="s">
        <v>21</v>
      </c>
      <c r="F15">
        <v>11</v>
      </c>
      <c r="G15">
        <v>2806</v>
      </c>
      <c r="H15">
        <f t="shared" si="1"/>
        <v>30866</v>
      </c>
    </row>
    <row r="16" spans="1:8">
      <c r="A16">
        <v>15</v>
      </c>
      <c r="B16" s="3">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7"/>
  <sheetViews>
    <sheetView workbookViewId="0">
      <selection activeCell="A2" sqref="A2"/>
    </sheetView>
  </sheetViews>
  <sheetFormatPr baseColWidth="10" defaultColWidth="8.83203125" defaultRowHeight="15"/>
  <cols>
    <col min="1" max="1" width="9.1640625" style="1"/>
    <col min="2" max="2" width="11.1640625" style="1" customWidth="1"/>
    <col min="3" max="3" width="14" customWidth="1"/>
    <col min="4" max="4" width="18.83203125" customWidth="1"/>
    <col min="5" max="7" width="9.1640625" style="1"/>
    <col min="8" max="8" width="12.5" style="1" customWidth="1"/>
  </cols>
  <sheetData>
    <row r="1" spans="1:8">
      <c r="A1" s="2" t="s">
        <v>7</v>
      </c>
      <c r="B1" s="2" t="s">
        <v>0</v>
      </c>
      <c r="C1" s="2" t="s">
        <v>1</v>
      </c>
      <c r="D1" s="2" t="s">
        <v>2</v>
      </c>
      <c r="E1" s="2" t="s">
        <v>3</v>
      </c>
      <c r="F1" s="2" t="s">
        <v>4</v>
      </c>
      <c r="G1" s="2" t="s">
        <v>5</v>
      </c>
      <c r="H1" s="2" t="s">
        <v>6</v>
      </c>
    </row>
    <row r="2" spans="1:8">
      <c r="A2">
        <v>1</v>
      </c>
      <c r="B2" s="3">
        <v>40179</v>
      </c>
      <c r="C2" t="s">
        <v>13</v>
      </c>
      <c r="D2" t="s">
        <v>15</v>
      </c>
      <c r="E2" t="s">
        <v>22</v>
      </c>
      <c r="F2">
        <v>5</v>
      </c>
      <c r="G2">
        <v>3270</v>
      </c>
      <c r="H2">
        <f>F2*G2</f>
        <v>16350</v>
      </c>
    </row>
    <row r="3" spans="1:8">
      <c r="A3">
        <v>2</v>
      </c>
      <c r="B3" s="3">
        <v>40180</v>
      </c>
      <c r="C3" t="s">
        <v>12</v>
      </c>
      <c r="D3" t="s">
        <v>16</v>
      </c>
      <c r="E3" t="s">
        <v>22</v>
      </c>
      <c r="F3">
        <v>17</v>
      </c>
      <c r="G3">
        <v>4245</v>
      </c>
      <c r="H3">
        <f t="shared" ref="H3:H11" si="0">F3*G3</f>
        <v>72165</v>
      </c>
    </row>
    <row r="4" spans="1:8">
      <c r="A4">
        <v>3</v>
      </c>
      <c r="B4" s="3">
        <v>40181</v>
      </c>
      <c r="C4" t="s">
        <v>13</v>
      </c>
      <c r="D4" t="s">
        <v>17</v>
      </c>
      <c r="E4" t="s">
        <v>22</v>
      </c>
      <c r="F4">
        <v>5</v>
      </c>
      <c r="G4">
        <v>4864</v>
      </c>
      <c r="H4">
        <f t="shared" si="0"/>
        <v>24320</v>
      </c>
    </row>
    <row r="5" spans="1:8">
      <c r="A5">
        <v>4</v>
      </c>
      <c r="B5" s="3">
        <v>40182</v>
      </c>
      <c r="C5" t="s">
        <v>13</v>
      </c>
      <c r="D5" t="s">
        <v>18</v>
      </c>
      <c r="E5" t="s">
        <v>22</v>
      </c>
      <c r="F5">
        <v>6</v>
      </c>
      <c r="G5">
        <v>2381</v>
      </c>
      <c r="H5">
        <f t="shared" si="0"/>
        <v>14286</v>
      </c>
    </row>
    <row r="6" spans="1:8">
      <c r="A6">
        <v>5</v>
      </c>
      <c r="B6" s="3">
        <v>40183</v>
      </c>
      <c r="C6" t="s">
        <v>11</v>
      </c>
      <c r="D6" t="s">
        <v>19</v>
      </c>
      <c r="E6" t="s">
        <v>22</v>
      </c>
      <c r="F6">
        <v>10</v>
      </c>
      <c r="G6">
        <v>3503</v>
      </c>
      <c r="H6">
        <f t="shared" si="0"/>
        <v>35030</v>
      </c>
    </row>
    <row r="7" spans="1:8">
      <c r="A7">
        <v>6</v>
      </c>
      <c r="B7" s="3">
        <v>40184</v>
      </c>
      <c r="C7" t="s">
        <v>13</v>
      </c>
      <c r="D7" t="s">
        <v>15</v>
      </c>
      <c r="E7" t="s">
        <v>22</v>
      </c>
      <c r="F7">
        <v>5</v>
      </c>
      <c r="G7">
        <v>3176</v>
      </c>
      <c r="H7">
        <f t="shared" si="0"/>
        <v>15880</v>
      </c>
    </row>
    <row r="8" spans="1:8">
      <c r="A8">
        <v>7</v>
      </c>
      <c r="B8" s="3">
        <v>40185</v>
      </c>
      <c r="C8" t="s">
        <v>12</v>
      </c>
      <c r="D8" t="s">
        <v>16</v>
      </c>
      <c r="E8" t="s">
        <v>22</v>
      </c>
      <c r="F8">
        <v>12</v>
      </c>
      <c r="G8">
        <v>4192</v>
      </c>
      <c r="H8">
        <f t="shared" si="0"/>
        <v>50304</v>
      </c>
    </row>
    <row r="9" spans="1:8">
      <c r="A9">
        <v>8</v>
      </c>
      <c r="B9" s="3">
        <v>40186</v>
      </c>
      <c r="C9" t="s">
        <v>13</v>
      </c>
      <c r="D9" t="s">
        <v>17</v>
      </c>
      <c r="E9" t="s">
        <v>22</v>
      </c>
      <c r="F9">
        <v>2</v>
      </c>
      <c r="G9">
        <v>4793</v>
      </c>
      <c r="H9">
        <f t="shared" si="0"/>
        <v>9586</v>
      </c>
    </row>
    <row r="10" spans="1:8">
      <c r="A10">
        <v>9</v>
      </c>
      <c r="B10" s="3">
        <v>40187</v>
      </c>
      <c r="C10" t="s">
        <v>13</v>
      </c>
      <c r="D10" t="s">
        <v>18</v>
      </c>
      <c r="E10" t="s">
        <v>22</v>
      </c>
      <c r="F10">
        <v>5</v>
      </c>
      <c r="G10">
        <v>2204</v>
      </c>
      <c r="H10">
        <f t="shared" si="0"/>
        <v>11020</v>
      </c>
    </row>
    <row r="11" spans="1:8">
      <c r="A11">
        <v>10</v>
      </c>
      <c r="B11" s="3">
        <v>40188</v>
      </c>
      <c r="C11" t="s">
        <v>11</v>
      </c>
      <c r="D11" t="s">
        <v>19</v>
      </c>
      <c r="E11" t="s">
        <v>22</v>
      </c>
      <c r="F11">
        <v>18</v>
      </c>
      <c r="G11">
        <v>4183</v>
      </c>
      <c r="H11">
        <f t="shared" si="0"/>
        <v>75294</v>
      </c>
    </row>
    <row r="12" spans="1:8">
      <c r="A12">
        <v>11</v>
      </c>
      <c r="B12" s="3">
        <v>40183</v>
      </c>
      <c r="C12" t="s">
        <v>11</v>
      </c>
      <c r="D12" t="s">
        <v>19</v>
      </c>
      <c r="E12" t="s">
        <v>22</v>
      </c>
      <c r="F12">
        <v>10</v>
      </c>
      <c r="G12">
        <v>3503</v>
      </c>
      <c r="H12">
        <f t="shared" ref="H12:H17" si="1">F12*G12</f>
        <v>35030</v>
      </c>
    </row>
    <row r="13" spans="1:8">
      <c r="A13">
        <v>12</v>
      </c>
      <c r="B13" s="3">
        <v>40184</v>
      </c>
      <c r="C13" t="s">
        <v>13</v>
      </c>
      <c r="D13" t="s">
        <v>15</v>
      </c>
      <c r="E13" t="s">
        <v>22</v>
      </c>
      <c r="F13">
        <v>5</v>
      </c>
      <c r="G13">
        <v>3176</v>
      </c>
      <c r="H13">
        <f t="shared" si="1"/>
        <v>15880</v>
      </c>
    </row>
    <row r="14" spans="1:8">
      <c r="A14">
        <v>13</v>
      </c>
      <c r="B14" s="3">
        <v>40185</v>
      </c>
      <c r="C14" t="s">
        <v>12</v>
      </c>
      <c r="D14" t="s">
        <v>16</v>
      </c>
      <c r="E14" t="s">
        <v>22</v>
      </c>
      <c r="F14">
        <v>12</v>
      </c>
      <c r="G14">
        <v>4192</v>
      </c>
      <c r="H14">
        <f t="shared" si="1"/>
        <v>50304</v>
      </c>
    </row>
    <row r="15" spans="1:8">
      <c r="A15">
        <v>14</v>
      </c>
      <c r="B15" s="3">
        <v>40186</v>
      </c>
      <c r="C15" t="s">
        <v>13</v>
      </c>
      <c r="D15" t="s">
        <v>17</v>
      </c>
      <c r="E15" t="s">
        <v>22</v>
      </c>
      <c r="F15">
        <v>2</v>
      </c>
      <c r="G15">
        <v>4793</v>
      </c>
      <c r="H15">
        <f t="shared" si="1"/>
        <v>9586</v>
      </c>
    </row>
    <row r="16" spans="1:8">
      <c r="A16">
        <v>15</v>
      </c>
      <c r="B16" s="3">
        <v>40187</v>
      </c>
      <c r="C16" t="s">
        <v>13</v>
      </c>
      <c r="D16" t="s">
        <v>18</v>
      </c>
      <c r="E16" t="s">
        <v>22</v>
      </c>
      <c r="F16">
        <v>5</v>
      </c>
      <c r="G16">
        <v>2204</v>
      </c>
      <c r="H16">
        <f t="shared" si="1"/>
        <v>11020</v>
      </c>
    </row>
    <row r="17" spans="1:8">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heetViews>
  <sheetFormatPr baseColWidth="10" defaultColWidth="8.83203125" defaultRowHeight="15"/>
  <cols>
    <col min="1" max="1" width="9.1640625" style="1"/>
    <col min="2" max="2" width="7.83203125" bestFit="1" customWidth="1"/>
    <col min="3" max="4" width="9.5" bestFit="1" customWidth="1"/>
  </cols>
  <sheetData>
    <row r="2" spans="1:4">
      <c r="B2" t="s">
        <v>25</v>
      </c>
    </row>
    <row r="3" spans="1:4">
      <c r="B3" t="s">
        <v>26</v>
      </c>
    </row>
    <row r="4" spans="1:4">
      <c r="B4" t="s">
        <v>27</v>
      </c>
    </row>
    <row r="5" spans="1:4">
      <c r="B5" t="s">
        <v>28</v>
      </c>
    </row>
    <row r="6" spans="1:4">
      <c r="B6" t="s">
        <v>35</v>
      </c>
    </row>
    <row r="7" spans="1:4">
      <c r="B7" t="s">
        <v>36</v>
      </c>
    </row>
    <row r="8" spans="1:4">
      <c r="B8" t="s">
        <v>37</v>
      </c>
    </row>
    <row r="9" spans="1:4">
      <c r="B9" t="s">
        <v>29</v>
      </c>
    </row>
    <row r="10" spans="1:4" ht="16">
      <c r="B10" s="6" t="s">
        <v>38</v>
      </c>
      <c r="C10" s="6"/>
    </row>
    <row r="11" spans="1:4" ht="16">
      <c r="B11" s="6" t="s">
        <v>39</v>
      </c>
      <c r="C11" s="6"/>
    </row>
    <row r="12" spans="1:4" ht="16">
      <c r="B12" s="6"/>
      <c r="C12" s="6"/>
    </row>
    <row r="13" spans="1:4" ht="16">
      <c r="B13" s="10" t="s">
        <v>34</v>
      </c>
      <c r="C13" s="6"/>
    </row>
    <row r="15" spans="1:4">
      <c r="A15" s="1">
        <v>1</v>
      </c>
      <c r="B15" s="7" t="s">
        <v>3</v>
      </c>
      <c r="C15" s="7" t="s">
        <v>23</v>
      </c>
      <c r="D15" s="8"/>
    </row>
    <row r="16" spans="1:4">
      <c r="A16" s="1">
        <v>2</v>
      </c>
      <c r="B16" s="9" t="s">
        <v>1</v>
      </c>
      <c r="C16" s="7" t="s">
        <v>23</v>
      </c>
      <c r="D16" s="8"/>
    </row>
    <row r="17" spans="1:7">
      <c r="A17" s="1">
        <v>3</v>
      </c>
      <c r="B17" s="7" t="s">
        <v>3</v>
      </c>
      <c r="C17" s="9" t="s">
        <v>1</v>
      </c>
      <c r="D17" s="7" t="s">
        <v>4</v>
      </c>
    </row>
    <row r="18" spans="1:7">
      <c r="A18" s="1">
        <v>4</v>
      </c>
      <c r="B18" s="9" t="s">
        <v>0</v>
      </c>
      <c r="C18" s="7" t="s">
        <v>1</v>
      </c>
      <c r="D18" s="7" t="s">
        <v>23</v>
      </c>
      <c r="F18" s="5"/>
      <c r="G18" t="s">
        <v>30</v>
      </c>
    </row>
    <row r="21" spans="1:7">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Microsoft Office User</cp:lastModifiedBy>
  <dcterms:created xsi:type="dcterms:W3CDTF">2020-07-03T08:10:56Z</dcterms:created>
  <dcterms:modified xsi:type="dcterms:W3CDTF">2020-09-04T07:12:52Z</dcterms:modified>
</cp:coreProperties>
</file>